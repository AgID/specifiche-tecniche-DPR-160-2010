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tes.ey.com/sites/AQDT-AGID-AQDT-AGID/Shared Documents/AgID - SUAP/Lotto 2/08. Gruppo Tecnico/HL Workflow/"/>
    </mc:Choice>
  </mc:AlternateContent>
  <xr:revisionPtr revIDLastSave="4" documentId="14_{322B0368-9C82-4B93-8A84-BA79152C07AD}" xr6:coauthVersionLast="47" xr6:coauthVersionMax="47" xr10:uidLastSave="{5972DF78-66AF-42F2-952F-ACA6269022DC}"/>
  <bookViews>
    <workbookView minimized="1" xWindow="2730" yWindow="-11850" windowWidth="21600" windowHeight="12255" xr2:uid="{00000000-000D-0000-FFFF-FFFF00000000}"/>
  </bookViews>
  <sheets>
    <sheet name="Operations" sheetId="1" r:id="rId1"/>
    <sheet name="bo_to_fo" sheetId="2" r:id="rId2"/>
    <sheet name="catalogo-ssu_to_fo" sheetId="6" r:id="rId3"/>
    <sheet name="cu_to_fo" sheetId="5" r:id="rId4"/>
    <sheet name="fo_to_bo" sheetId="7" r:id="rId5"/>
    <sheet name="et_to_bo" sheetId="8" r:id="rId6"/>
    <sheet name="ri_to_bo" sheetId="9" r:id="rId7"/>
    <sheet name="bozes_to_boadsp" sheetId="17" r:id="rId8"/>
    <sheet name="boadsp_to_bozes" sheetId="18" r:id="rId9"/>
    <sheet name="catalogo-ssu_to_bo" sheetId="10" r:id="rId10"/>
    <sheet name="bo_to_et" sheetId="11" r:id="rId11"/>
    <sheet name="et_to_et" sheetId="19" r:id="rId12"/>
    <sheet name="catalogo-ssu_to_et" sheetId="12" r:id="rId13"/>
    <sheet name="fo_to_cu" sheetId="14" r:id="rId14"/>
    <sheet name="catalogo-ssu_to_cu" sheetId="15" r:id="rId15"/>
    <sheet name="bo_to_ri" sheetId="13" r:id="rId16"/>
    <sheet name="catalogo-ssu_to_ri" sheetId="16" r:id="rId17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9" l="1" a="1"/>
  <c r="C3" i="19" s="1"/>
  <c r="C4" i="19" a="1"/>
  <c r="C4" i="19" s="1"/>
  <c r="C5" i="19" a="1"/>
  <c r="C5" i="19" s="1"/>
  <c r="C6" i="19" a="1"/>
  <c r="C6" i="19" s="1"/>
  <c r="C7" i="19" a="1"/>
  <c r="C7" i="19" s="1"/>
  <c r="C8" i="19" a="1"/>
  <c r="C8" i="19" s="1"/>
  <c r="C9" i="19" a="1"/>
  <c r="C9" i="19" s="1"/>
  <c r="C2" i="19" a="1"/>
  <c r="C2" i="19" s="1"/>
  <c r="C3" i="18" a="1"/>
  <c r="C3" i="18" s="1"/>
  <c r="C2" i="18" a="1"/>
  <c r="C2" i="18" s="1"/>
  <c r="C3" i="17" a="1"/>
  <c r="C3" i="17" s="1"/>
  <c r="C4" i="17" a="1"/>
  <c r="C4" i="17" s="1"/>
  <c r="C2" i="17" a="1"/>
  <c r="C2" i="17" s="1"/>
  <c r="C3" i="16" a="1"/>
  <c r="C3" i="16" s="1"/>
  <c r="C4" i="16" a="1"/>
  <c r="C4" i="16" s="1"/>
  <c r="C2" i="16" a="1"/>
  <c r="C2" i="16" s="1"/>
  <c r="C2" i="15" a="1"/>
  <c r="C2" i="15" s="1"/>
  <c r="C3" i="14" a="1"/>
  <c r="C3" i="14" s="1"/>
  <c r="C4" i="14" a="1"/>
  <c r="C4" i="14" s="1"/>
  <c r="C5" i="14" a="1"/>
  <c r="C5" i="14" s="1"/>
  <c r="C6" i="14" a="1"/>
  <c r="C6" i="14" s="1"/>
  <c r="C2" i="14" a="1"/>
  <c r="C2" i="14" s="1"/>
  <c r="C3" i="13" a="1"/>
  <c r="C3" i="13" s="1"/>
  <c r="C4" i="13" a="1"/>
  <c r="C4" i="13" s="1"/>
  <c r="C5" i="13" a="1"/>
  <c r="C5" i="13" s="1"/>
  <c r="C2" i="13" a="1"/>
  <c r="C2" i="13" s="1"/>
  <c r="C3" i="12" a="1"/>
  <c r="C3" i="12" s="1"/>
  <c r="C4" i="12" a="1"/>
  <c r="C4" i="12" s="1"/>
  <c r="C2" i="12" a="1"/>
  <c r="C2" i="12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2" i="11" a="1"/>
  <c r="C2" i="11" s="1"/>
  <c r="C9" i="10" a="1"/>
  <c r="C9" i="10" s="1"/>
  <c r="C8" i="10" a="1"/>
  <c r="C8" i="10" s="1"/>
  <c r="C7" i="10" a="1"/>
  <c r="C7" i="10" s="1"/>
  <c r="C6" i="10" a="1"/>
  <c r="C6" i="10" s="1"/>
  <c r="C5" i="10" a="1"/>
  <c r="C5" i="10" s="1"/>
  <c r="C4" i="10" a="1"/>
  <c r="C4" i="10" s="1"/>
  <c r="C3" i="10" a="1"/>
  <c r="C3" i="10" s="1"/>
  <c r="C2" i="10" a="1"/>
  <c r="C2" i="10" s="1"/>
  <c r="C5" i="9" a="1"/>
  <c r="C5" i="9" s="1"/>
  <c r="C4" i="9" a="1"/>
  <c r="C4" i="9" s="1"/>
  <c r="C3" i="9" a="1"/>
  <c r="C3" i="9" s="1"/>
  <c r="C2" i="9" a="1"/>
  <c r="C2" i="9" s="1"/>
  <c r="C7" i="8" a="1"/>
  <c r="C7" i="8" s="1"/>
  <c r="C6" i="8" a="1"/>
  <c r="C6" i="8" s="1"/>
  <c r="C5" i="8" a="1"/>
  <c r="C5" i="8" s="1"/>
  <c r="C4" i="8" a="1"/>
  <c r="C4" i="8" s="1"/>
  <c r="C3" i="8" a="1"/>
  <c r="C3" i="8" s="1"/>
  <c r="C2" i="8" a="1"/>
  <c r="C2" i="8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C2" i="7" a="1"/>
  <c r="C2" i="7" s="1"/>
  <c r="C3" i="5" a="1"/>
  <c r="C3" i="5" s="1"/>
  <c r="C2" i="5" a="1"/>
  <c r="C2" i="5" s="1"/>
  <c r="C3" i="6" a="1"/>
  <c r="C3" i="6" s="1"/>
  <c r="C2" i="6" a="1"/>
  <c r="C2" i="6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<sst xmlns="http://schemas.openxmlformats.org/spreadsheetml/2006/main" count="258" uniqueCount="135">
  <si>
    <t>Fron Office</t>
  </si>
  <si>
    <t>Back Office</t>
  </si>
  <si>
    <t>Ente Terzo</t>
  </si>
  <si>
    <t>Comunica</t>
  </si>
  <si>
    <t>Registro Imprese</t>
  </si>
  <si>
    <t>Creazione Istanza</t>
  </si>
  <si>
    <t>F -&gt;&gt; C: request_cui</t>
  </si>
  <si>
    <t>B -&gt;&gt; C: add_permit_document</t>
  </si>
  <si>
    <t>CU -&gt;&gt; F: fo-portal-ref</t>
  </si>
  <si>
    <t>F -&gt;&gt; B | F -&gt;&gt; CU: send_instance</t>
  </si>
  <si>
    <t>F -&gt;&gt; B: notify_receipt</t>
  </si>
  <si>
    <t>CU -&gt;&gt; F: notify_receipt</t>
  </si>
  <si>
    <t>Correzione Istanza</t>
  </si>
  <si>
    <t>F -&gt;&gt; B: send_instance_updated_documents</t>
  </si>
  <si>
    <t>B -&gt;&gt; F: request_correction</t>
  </si>
  <si>
    <t>B -&gt;&gt; C: UpdateInstancesAndTimes</t>
  </si>
  <si>
    <t>B -&gt;&gt; C: revoke_permit_document</t>
  </si>
  <si>
    <t>B -&gt;&gt; F: notify</t>
  </si>
  <si>
    <t>Richiesta Pareri</t>
  </si>
  <si>
    <t>B -&gt;&gt; E: send_instance</t>
  </si>
  <si>
    <t>Conformazione</t>
  </si>
  <si>
    <t>E -&gt;&gt; B: request_conformation</t>
  </si>
  <si>
    <t>B -&gt;&gt; E: notify</t>
  </si>
  <si>
    <t>B -&gt;&gt; F: request_conformation</t>
  </si>
  <si>
    <t>B -&gt;&gt; C: update_attachments_and_times</t>
  </si>
  <si>
    <t>B -&gt;&gt; E: send_instance_updated_documents</t>
  </si>
  <si>
    <t>Integrazione</t>
  </si>
  <si>
    <t>E -&gt;&gt; B: request_integration</t>
  </si>
  <si>
    <t>B -&gt;&gt; E | B -&gt;&gt; F: notify</t>
  </si>
  <si>
    <t>B -&gt;&gt; F: request_integration</t>
  </si>
  <si>
    <t>CDSA</t>
  </si>
  <si>
    <t>E -&gt;&gt; B: notify</t>
  </si>
  <si>
    <t>F -&gt;&gt; B: notify</t>
  </si>
  <si>
    <t>B -&gt;&gt; F | B -&gt;&gt; E: notify</t>
  </si>
  <si>
    <t>CDSS</t>
  </si>
  <si>
    <t>B -&gt;&gt; E | B -&gt;&gt; F: cdss_resolution_forward</t>
  </si>
  <si>
    <t>CERS</t>
  </si>
  <si>
    <t>RI -&gt;&gt; C: request_cui</t>
  </si>
  <si>
    <t>RI -&gt;&gt; B: send_instance</t>
  </si>
  <si>
    <t>RI -&gt;&gt; B: notify_receipt</t>
  </si>
  <si>
    <t>Provvedimento Condizionato</t>
  </si>
  <si>
    <t>E -&gt;&gt; B: send_conditional_provision</t>
  </si>
  <si>
    <t>E -&gt;&gt; B: send_extension_conditional_provision</t>
  </si>
  <si>
    <t>Motivi Ostativi</t>
  </si>
  <si>
    <t>E -&gt;&gt; B: send_impediments</t>
  </si>
  <si>
    <t>Conclusioni</t>
  </si>
  <si>
    <t>E -&gt;&gt; B: send_conclusions</t>
  </si>
  <si>
    <t>Comunicazione generica</t>
  </si>
  <si>
    <t>F-&gt;&gt; B: notify</t>
  </si>
  <si>
    <t>B-&gt;&gt;E | B-&gt;&gt;F: notify</t>
  </si>
  <si>
    <t>E-&gt;&gt;B: send_generic_communication</t>
  </si>
  <si>
    <t>Operazioni trasversali</t>
  </si>
  <si>
    <t>F -&gt;&gt; C: audit</t>
  </si>
  <si>
    <t>B -&gt;&gt; C: audit</t>
  </si>
  <si>
    <t>E -&gt;&gt; C: audit</t>
  </si>
  <si>
    <t>RI -&gt;&gt; C: audit</t>
  </si>
  <si>
    <t>RI Information Debit</t>
  </si>
  <si>
    <t>B -&gt;&gt; RI: send_instance</t>
  </si>
  <si>
    <t>B -&gt;&gt; RI: send_conformation_documents</t>
  </si>
  <si>
    <t>B -&gt;&gt; RI: send_integration_documents</t>
  </si>
  <si>
    <t>B -&gt;&gt; RI: notify</t>
  </si>
  <si>
    <t>Operation</t>
  </si>
  <si>
    <t>Check</t>
  </si>
  <si>
    <t>notify_receipt</t>
  </si>
  <si>
    <t>notify</t>
  </si>
  <si>
    <t>cancel_instance</t>
  </si>
  <si>
    <t>retry</t>
  </si>
  <si>
    <t>send_instance</t>
  </si>
  <si>
    <t>send_instance_updated_documents</t>
  </si>
  <si>
    <t>delete_instance</t>
  </si>
  <si>
    <t>instance/{cui_uuid}/document/{resource_id}</t>
  </si>
  <si>
    <t>send_impediments</t>
  </si>
  <si>
    <t>send_conclusions</t>
  </si>
  <si>
    <t>send_conditional_provision</t>
  </si>
  <si>
    <t>request_cdss</t>
  </si>
  <si>
    <t>request_integration</t>
  </si>
  <si>
    <t>request_conformation</t>
  </si>
  <si>
    <t>send_extension_conditional_provision</t>
  </si>
  <si>
    <t>send_generic_communication</t>
  </si>
  <si>
    <t>F -&gt;&gt; B: cancel_instance</t>
  </si>
  <si>
    <t>F-&gt;&gt;B: instance/{cui_uuid}/document/{resource_id}</t>
  </si>
  <si>
    <t>F -&gt;&gt; B: instance/{cui_uuid}/document/{resource_id}</t>
  </si>
  <si>
    <t>F -&gt;&gt; B: delete_instance</t>
  </si>
  <si>
    <t>request_cui</t>
  </si>
  <si>
    <t>audit</t>
  </si>
  <si>
    <t>F -&gt;&gt; B | F-&gt;&gt;CU : retry</t>
  </si>
  <si>
    <t>request_correction</t>
  </si>
  <si>
    <t>cdss_resolution_forward</t>
  </si>
  <si>
    <t>CU -&gt;&gt; F:  instance/{cui_uuid}/document/{resource_id}</t>
  </si>
  <si>
    <t>B -&gt;&gt; F: instance/{cui_uuid}/document/{resource_id}</t>
  </si>
  <si>
    <t>E -&gt;&gt; B: instance/{cui_uuid}/document/{resource_id}</t>
  </si>
  <si>
    <t>B -&gt;&gt; E | B -&gt;&gt; F: instance/{cui_uuid}/document/{resource_id}</t>
  </si>
  <si>
    <t>B -&gt;&gt; E: instance/{cui_uuid}/document/{resource_id}</t>
  </si>
  <si>
    <t>B -&gt;&gt; RI: instance/{cui_uuid}/document/{resource_id}</t>
  </si>
  <si>
    <t>B-&gt;&gt;F: instance/{cui_uuid}/document/{resource_id}</t>
  </si>
  <si>
    <t>E-&gt;&gt;B: instance/{cui_uuid}/document/{resource_id}</t>
  </si>
  <si>
    <t>RI -&gt;&gt; B:  instance/{cui_uuid}/document/{resource_id}</t>
  </si>
  <si>
    <t>E -&gt;&gt; B: retry</t>
  </si>
  <si>
    <t>B  -&gt;&gt; F | B -&gt;&gt; E | B -&gt;&gt; RI: retry</t>
  </si>
  <si>
    <t>instance_descriptor</t>
  </si>
  <si>
    <t>update_times</t>
  </si>
  <si>
    <t>update_attachments_and_times</t>
  </si>
  <si>
    <t>update_instances_and_times</t>
  </si>
  <si>
    <t>add_interested_administration</t>
  </si>
  <si>
    <t>add_permit_document</t>
  </si>
  <si>
    <t>revoke_permit_document</t>
  </si>
  <si>
    <t>E -&gt;&gt; C: instance_descriptor</t>
  </si>
  <si>
    <t>RI -&gt;&gt; C: instance_descriptor</t>
  </si>
  <si>
    <t>B -&gt;&gt; C: instance_descriptor</t>
  </si>
  <si>
    <t>F -&gt;&gt; C: instance_descriptor</t>
  </si>
  <si>
    <t>B -&gt;&gt; C: update_times</t>
  </si>
  <si>
    <t>(non in uso nei flussi)</t>
  </si>
  <si>
    <t>B -&gt;&gt; C: add_interested_administration</t>
  </si>
  <si>
    <t>E -&gt;&gt; B : request_cdss</t>
  </si>
  <si>
    <t>administration_ghost</t>
  </si>
  <si>
    <t>E -&gt;&gt; C: administration_ghost</t>
  </si>
  <si>
    <t>RI -&gt;&gt; B : retry</t>
  </si>
  <si>
    <t>fo-portal-ref</t>
  </si>
  <si>
    <t>CU -&gt;&gt; F: retry</t>
  </si>
  <si>
    <t>CU -&gt;&gt; F: cancel_instance</t>
  </si>
  <si>
    <t>CU -&gt;&gt; C: instance_descriptor</t>
  </si>
  <si>
    <t>ZES</t>
  </si>
  <si>
    <t>transfer_instance</t>
  </si>
  <si>
    <t>BOZES -&gt;&gt; BOADSP: transfer_instance</t>
  </si>
  <si>
    <t>BOZES -&gt;&gt; BOADSP: instance/{cui_uuid}/document/{resource_id}</t>
  </si>
  <si>
    <t>BOADSP -&gt;&gt; BOZES: notify</t>
  </si>
  <si>
    <t>BOZES -&gt;&gt; BOADSP | BOADSP -&gt;&gt; BOZES: retry</t>
  </si>
  <si>
    <t>ET RICORSIVO</t>
  </si>
  <si>
    <t>E -&gt;&gt; E: send_instance</t>
  </si>
  <si>
    <t>E -&gt;&gt; B | E-&gt;&gt;E : notify</t>
  </si>
  <si>
    <t>E -&gt;&gt; E | E -&gt;&gt; B : request_integration</t>
  </si>
  <si>
    <t>E -&gt;&gt; E | E -&gt;&gt; B : send_conclusions</t>
  </si>
  <si>
    <t>E -&gt;&gt; E | E -&gt;&gt; B : request_conformation</t>
  </si>
  <si>
    <t>E -&gt;&gt; E | E -&gt;&gt; B: request_cdss</t>
  </si>
  <si>
    <t>(non presente nel flusso)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</si>
</sst>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6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5" xfId="0" applyFill="1" applyBorder="1"/>
    <xf numFmtId="0" fontId="0" fillId="5" borderId="0" xfId="0" applyFill="1"/>
    <xf numFmtId="0" fontId="0" fillId="5" borderId="4" xfId="0" applyFill="1" applyBorder="1"/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0" fillId="5" borderId="7" xfId="0" applyFill="1" applyBorder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2:H68"/>
  <sheetViews>
    <sheetView showGridLines="0" tabSelected="1" topLeftCell="A27" zoomScale="80" zoomScaleNormal="80" workbookViewId="0">
      <selection activeCell="I51" sqref="I51"/>
    </sheetView>
  </sheetViews>
  <sheetFormatPr defaultRowHeight="14.5" x14ac:dyDescent="0.35"/>
  <cols>
    <col min="1" max="1" width="4.54296875" customWidth="1"/>
    <col min="2" max="2" width="25.36328125" style="1" customWidth="1"/>
    <col min="3" max="3" width="45.81640625" customWidth="1"/>
    <col min="4" max="4" width="54.54296875" customWidth="1"/>
    <col min="5" max="5" width="49.54296875" customWidth="1"/>
    <col min="6" max="6" width="47.1796875" customWidth="1"/>
    <col min="7" max="7" width="47.453125" customWidth="1"/>
    <col min="8" max="8" width="5" customWidth="1"/>
  </cols>
  <sheetData>
    <row r="2" spans="1:8" ht="9" customHeight="1" x14ac:dyDescent="0.35"/>
    <row r="3" spans="1:8" ht="28" customHeight="1" x14ac:dyDescent="0.35">
      <c r="A3" s="16"/>
      <c r="B3" s="14"/>
      <c r="C3" s="15" t="s">
        <v>0</v>
      </c>
      <c r="D3" s="15" t="s">
        <v>1</v>
      </c>
      <c r="E3" s="15" t="s">
        <v>2</v>
      </c>
      <c r="F3" s="15" t="s">
        <v>3</v>
      </c>
      <c r="G3" s="15" t="s">
        <v>4</v>
      </c>
      <c r="H3" s="16"/>
    </row>
    <row r="4" spans="1:8" x14ac:dyDescent="0.35">
      <c r="A4" s="16"/>
      <c r="B4" s="24" t="s">
        <v>5</v>
      </c>
      <c r="C4" s="4" t="s">
        <v>6</v>
      </c>
      <c r="D4" s="4" t="s">
        <v>7</v>
      </c>
      <c r="E4" s="4"/>
      <c r="F4" s="4" t="s">
        <v>8</v>
      </c>
      <c r="G4" s="4"/>
      <c r="H4" s="16"/>
    </row>
    <row r="5" spans="1:8" x14ac:dyDescent="0.35">
      <c r="A5" s="16"/>
      <c r="B5" s="24"/>
      <c r="C5" s="4" t="s">
        <v>9</v>
      </c>
      <c r="D5" s="4" t="s">
        <v>110</v>
      </c>
      <c r="E5" s="4"/>
      <c r="F5" s="4" t="s">
        <v>88</v>
      </c>
      <c r="G5" s="4"/>
      <c r="H5" s="16"/>
    </row>
    <row r="6" spans="1:8" x14ac:dyDescent="0.35">
      <c r="A6" s="16"/>
      <c r="B6" s="25"/>
      <c r="C6" s="5" t="s">
        <v>10</v>
      </c>
      <c r="D6" s="5" t="s">
        <v>89</v>
      </c>
      <c r="E6" s="5"/>
      <c r="F6" s="5" t="s">
        <v>11</v>
      </c>
      <c r="G6" s="5"/>
      <c r="H6" s="16"/>
    </row>
    <row r="7" spans="1:8" x14ac:dyDescent="0.35">
      <c r="A7" s="16"/>
      <c r="B7" s="26" t="s">
        <v>12</v>
      </c>
      <c r="C7" s="4" t="s">
        <v>13</v>
      </c>
      <c r="D7" s="6" t="s">
        <v>14</v>
      </c>
      <c r="E7" s="6"/>
      <c r="F7" s="6"/>
      <c r="G7" s="4"/>
      <c r="H7" s="16"/>
    </row>
    <row r="8" spans="1:8" x14ac:dyDescent="0.35">
      <c r="A8" s="16"/>
      <c r="B8" s="24"/>
      <c r="C8" s="4"/>
      <c r="D8" s="4" t="s">
        <v>110</v>
      </c>
      <c r="E8" s="4"/>
      <c r="F8" s="4"/>
      <c r="G8" s="4"/>
      <c r="H8" s="16"/>
    </row>
    <row r="9" spans="1:8" x14ac:dyDescent="0.35">
      <c r="A9" s="16"/>
      <c r="B9" s="24"/>
      <c r="C9" s="4"/>
      <c r="D9" s="4" t="s">
        <v>15</v>
      </c>
      <c r="E9" s="4"/>
      <c r="F9" s="4"/>
      <c r="G9" s="4"/>
      <c r="H9" s="16"/>
    </row>
    <row r="10" spans="1:8" x14ac:dyDescent="0.35">
      <c r="A10" s="16"/>
      <c r="B10" s="24"/>
      <c r="C10" s="4"/>
      <c r="D10" s="4" t="s">
        <v>89</v>
      </c>
      <c r="E10" s="4"/>
      <c r="F10" s="4"/>
      <c r="G10" s="4"/>
      <c r="H10" s="16"/>
    </row>
    <row r="11" spans="1:8" x14ac:dyDescent="0.35">
      <c r="A11" s="16"/>
      <c r="B11" s="24"/>
      <c r="C11" s="4"/>
      <c r="D11" s="4" t="s">
        <v>16</v>
      </c>
      <c r="E11" s="4"/>
      <c r="F11" s="4"/>
      <c r="G11" s="4"/>
      <c r="H11" s="16"/>
    </row>
    <row r="12" spans="1:8" x14ac:dyDescent="0.35">
      <c r="A12" s="16"/>
      <c r="B12" s="25"/>
      <c r="C12" s="5"/>
      <c r="D12" s="5" t="s">
        <v>17</v>
      </c>
      <c r="E12" s="5"/>
      <c r="F12" s="5"/>
      <c r="G12" s="5"/>
      <c r="H12" s="16"/>
    </row>
    <row r="13" spans="1:8" x14ac:dyDescent="0.35">
      <c r="A13" s="16"/>
      <c r="B13" s="27" t="s">
        <v>18</v>
      </c>
      <c r="C13" s="7"/>
      <c r="D13" s="8" t="s">
        <v>19</v>
      </c>
      <c r="E13" s="8" t="s">
        <v>106</v>
      </c>
      <c r="F13" s="8"/>
      <c r="G13" s="7"/>
      <c r="H13" s="16"/>
    </row>
    <row r="14" spans="1:8" x14ac:dyDescent="0.35">
      <c r="A14" s="16"/>
      <c r="B14" s="28"/>
      <c r="C14" s="9"/>
      <c r="D14" s="9"/>
      <c r="E14" s="9" t="s">
        <v>90</v>
      </c>
      <c r="F14" s="9"/>
      <c r="G14" s="9"/>
      <c r="H14" s="16"/>
    </row>
    <row r="15" spans="1:8" x14ac:dyDescent="0.35">
      <c r="A15" s="16"/>
      <c r="B15" s="27" t="s">
        <v>20</v>
      </c>
      <c r="C15" s="7" t="s">
        <v>81</v>
      </c>
      <c r="D15" s="8" t="s">
        <v>91</v>
      </c>
      <c r="E15" s="8" t="s">
        <v>21</v>
      </c>
      <c r="F15" s="8"/>
      <c r="G15" s="7"/>
      <c r="H15" s="16"/>
    </row>
    <row r="16" spans="1:8" x14ac:dyDescent="0.35">
      <c r="A16" s="16"/>
      <c r="B16" s="29"/>
      <c r="C16" s="7" t="s">
        <v>17</v>
      </c>
      <c r="D16" s="7" t="s">
        <v>22</v>
      </c>
      <c r="E16" s="7" t="s">
        <v>90</v>
      </c>
      <c r="F16" s="7"/>
      <c r="G16" s="7"/>
      <c r="H16" s="16"/>
    </row>
    <row r="17" spans="1:8" x14ac:dyDescent="0.35">
      <c r="A17" s="16"/>
      <c r="B17" s="29"/>
      <c r="C17" s="7" t="s">
        <v>13</v>
      </c>
      <c r="D17" s="7" t="s">
        <v>23</v>
      </c>
      <c r="E17" s="7"/>
      <c r="F17" s="7"/>
      <c r="G17" s="7"/>
      <c r="H17" s="16"/>
    </row>
    <row r="18" spans="1:8" x14ac:dyDescent="0.35">
      <c r="A18" s="16"/>
      <c r="B18" s="29"/>
      <c r="C18" s="7"/>
      <c r="D18" s="7" t="s">
        <v>110</v>
      </c>
      <c r="E18" s="7"/>
      <c r="F18" s="7"/>
      <c r="G18" s="7"/>
      <c r="H18" s="16"/>
    </row>
    <row r="19" spans="1:8" x14ac:dyDescent="0.35">
      <c r="A19" s="16"/>
      <c r="B19" s="29"/>
      <c r="C19" s="7"/>
      <c r="D19" s="7" t="s">
        <v>24</v>
      </c>
      <c r="E19" s="7"/>
      <c r="F19" s="7"/>
      <c r="G19" s="7"/>
      <c r="H19" s="16"/>
    </row>
    <row r="20" spans="1:8" x14ac:dyDescent="0.35">
      <c r="A20" s="16"/>
      <c r="B20" s="28"/>
      <c r="C20" s="9"/>
      <c r="D20" s="9" t="s">
        <v>25</v>
      </c>
      <c r="E20" s="9"/>
      <c r="F20" s="9"/>
      <c r="G20" s="9"/>
      <c r="H20" s="16"/>
    </row>
    <row r="21" spans="1:8" x14ac:dyDescent="0.35">
      <c r="A21" s="16"/>
      <c r="B21" s="27" t="s">
        <v>26</v>
      </c>
      <c r="C21" s="7" t="s">
        <v>81</v>
      </c>
      <c r="D21" s="7" t="s">
        <v>91</v>
      </c>
      <c r="E21" s="7" t="s">
        <v>27</v>
      </c>
      <c r="F21" s="7"/>
      <c r="G21" s="7"/>
      <c r="H21" s="16"/>
    </row>
    <row r="22" spans="1:8" x14ac:dyDescent="0.35">
      <c r="A22" s="16"/>
      <c r="B22" s="29"/>
      <c r="C22" s="7" t="s">
        <v>13</v>
      </c>
      <c r="D22" s="7" t="s">
        <v>28</v>
      </c>
      <c r="E22" s="7" t="s">
        <v>90</v>
      </c>
      <c r="F22" s="7"/>
      <c r="G22" s="7"/>
      <c r="H22" s="16"/>
    </row>
    <row r="23" spans="1:8" x14ac:dyDescent="0.35">
      <c r="A23" s="16"/>
      <c r="B23" s="29"/>
      <c r="C23" s="7"/>
      <c r="D23" s="7" t="s">
        <v>29</v>
      </c>
      <c r="E23" s="7"/>
      <c r="F23" s="7"/>
      <c r="G23" s="7"/>
      <c r="H23" s="16"/>
    </row>
    <row r="24" spans="1:8" x14ac:dyDescent="0.35">
      <c r="A24" s="16"/>
      <c r="B24" s="29"/>
      <c r="C24" s="7"/>
      <c r="D24" s="7" t="s">
        <v>110</v>
      </c>
      <c r="E24" s="7"/>
      <c r="F24" s="7"/>
      <c r="G24" s="7"/>
      <c r="H24" s="16"/>
    </row>
    <row r="25" spans="1:8" x14ac:dyDescent="0.35">
      <c r="A25" s="16"/>
      <c r="B25" s="29"/>
      <c r="C25" s="7"/>
      <c r="D25" s="7" t="s">
        <v>24</v>
      </c>
      <c r="E25" s="7"/>
      <c r="F25" s="7"/>
      <c r="G25" s="7"/>
      <c r="H25" s="16"/>
    </row>
    <row r="26" spans="1:8" x14ac:dyDescent="0.35">
      <c r="A26" s="16"/>
      <c r="B26" s="29"/>
      <c r="C26" s="7"/>
      <c r="D26" s="7" t="s">
        <v>25</v>
      </c>
      <c r="E26" s="7"/>
      <c r="F26" s="7"/>
      <c r="G26" s="7"/>
      <c r="H26" s="16"/>
    </row>
    <row r="27" spans="1:8" x14ac:dyDescent="0.35">
      <c r="A27" s="16"/>
      <c r="B27" s="27" t="s">
        <v>30</v>
      </c>
      <c r="C27" s="8" t="s">
        <v>81</v>
      </c>
      <c r="D27" s="8" t="s">
        <v>110</v>
      </c>
      <c r="E27" s="8" t="s">
        <v>31</v>
      </c>
      <c r="F27" s="8"/>
      <c r="G27" s="8"/>
      <c r="H27" s="16"/>
    </row>
    <row r="28" spans="1:8" x14ac:dyDescent="0.35">
      <c r="A28" s="16"/>
      <c r="B28" s="29"/>
      <c r="C28" s="7" t="s">
        <v>32</v>
      </c>
      <c r="D28" s="7" t="s">
        <v>33</v>
      </c>
      <c r="E28" s="7" t="s">
        <v>92</v>
      </c>
      <c r="F28" s="7"/>
      <c r="G28" s="7"/>
      <c r="H28" s="16"/>
    </row>
    <row r="29" spans="1:8" x14ac:dyDescent="0.35">
      <c r="A29" s="16"/>
      <c r="B29" s="28"/>
      <c r="C29" s="9"/>
      <c r="D29" s="9" t="s">
        <v>89</v>
      </c>
      <c r="E29" s="9"/>
      <c r="F29" s="9"/>
      <c r="G29" s="7"/>
      <c r="H29" s="16"/>
    </row>
    <row r="30" spans="1:8" x14ac:dyDescent="0.35">
      <c r="A30" s="16"/>
      <c r="B30" s="27" t="s">
        <v>34</v>
      </c>
      <c r="C30" s="7" t="s">
        <v>81</v>
      </c>
      <c r="D30" s="7" t="s">
        <v>110</v>
      </c>
      <c r="E30" s="7" t="s">
        <v>90</v>
      </c>
      <c r="F30" s="7"/>
      <c r="G30" s="8"/>
      <c r="H30" s="16"/>
    </row>
    <row r="31" spans="1:8" x14ac:dyDescent="0.35">
      <c r="A31" s="16"/>
      <c r="B31" s="29"/>
      <c r="C31" s="7"/>
      <c r="D31" s="7" t="s">
        <v>33</v>
      </c>
      <c r="E31" s="7" t="s">
        <v>113</v>
      </c>
      <c r="F31" s="7"/>
      <c r="G31" s="7"/>
      <c r="H31" s="16"/>
    </row>
    <row r="32" spans="1:8" x14ac:dyDescent="0.35">
      <c r="A32" s="16"/>
      <c r="B32" s="29"/>
      <c r="C32" s="7"/>
      <c r="D32" s="7" t="s">
        <v>19</v>
      </c>
      <c r="E32" s="7"/>
      <c r="F32" s="7"/>
      <c r="G32" s="7"/>
      <c r="H32" s="16"/>
    </row>
    <row r="33" spans="1:8" x14ac:dyDescent="0.35">
      <c r="A33" s="16"/>
      <c r="B33" s="29"/>
      <c r="C33" s="7"/>
      <c r="D33" s="7" t="s">
        <v>35</v>
      </c>
      <c r="E33" s="7"/>
      <c r="F33" s="7"/>
      <c r="G33" s="7"/>
      <c r="H33" s="16"/>
    </row>
    <row r="34" spans="1:8" x14ac:dyDescent="0.35">
      <c r="A34" s="16"/>
      <c r="B34" s="27" t="s">
        <v>36</v>
      </c>
      <c r="C34" s="8"/>
      <c r="D34" s="8" t="s">
        <v>110</v>
      </c>
      <c r="E34" s="8" t="s">
        <v>106</v>
      </c>
      <c r="F34" s="8"/>
      <c r="G34" s="8" t="s">
        <v>37</v>
      </c>
      <c r="H34" s="16"/>
    </row>
    <row r="35" spans="1:8" x14ac:dyDescent="0.35">
      <c r="A35" s="16"/>
      <c r="B35" s="29"/>
      <c r="C35" s="7"/>
      <c r="D35" s="7" t="s">
        <v>93</v>
      </c>
      <c r="E35" s="7" t="s">
        <v>90</v>
      </c>
      <c r="F35" s="7"/>
      <c r="G35" s="7" t="s">
        <v>38</v>
      </c>
      <c r="H35" s="16"/>
    </row>
    <row r="36" spans="1:8" x14ac:dyDescent="0.35">
      <c r="A36" s="16"/>
      <c r="B36" s="29"/>
      <c r="C36" s="7"/>
      <c r="D36" s="7" t="s">
        <v>19</v>
      </c>
      <c r="E36" s="7"/>
      <c r="F36" s="7"/>
      <c r="G36" s="7" t="s">
        <v>39</v>
      </c>
      <c r="H36" s="16"/>
    </row>
    <row r="37" spans="1:8" x14ac:dyDescent="0.35">
      <c r="A37" s="16"/>
      <c r="B37" s="28"/>
      <c r="C37" s="10"/>
      <c r="D37" s="9" t="s">
        <v>22</v>
      </c>
      <c r="E37" s="9"/>
      <c r="F37" s="9"/>
      <c r="G37" s="9"/>
      <c r="H37" s="16"/>
    </row>
    <row r="38" spans="1:8" x14ac:dyDescent="0.35">
      <c r="A38" s="16"/>
      <c r="B38" s="27" t="s">
        <v>121</v>
      </c>
      <c r="C38" s="7"/>
      <c r="D38" s="7" t="s">
        <v>126</v>
      </c>
      <c r="E38" s="7"/>
      <c r="F38" s="7"/>
      <c r="G38" s="7"/>
      <c r="H38" s="16"/>
    </row>
    <row r="39" spans="1:8" x14ac:dyDescent="0.35">
      <c r="A39" s="16"/>
      <c r="B39" s="29"/>
      <c r="C39" s="7"/>
      <c r="D39" s="7" t="s">
        <v>123</v>
      </c>
      <c r="E39" s="7"/>
      <c r="F39" s="7"/>
      <c r="G39" s="7"/>
      <c r="H39" s="16"/>
    </row>
    <row r="40" spans="1:8" x14ac:dyDescent="0.35">
      <c r="A40" s="16"/>
      <c r="B40" s="29"/>
      <c r="C40" s="7"/>
      <c r="D40" s="7" t="s">
        <v>124</v>
      </c>
      <c r="E40" s="7"/>
      <c r="F40" s="7"/>
      <c r="G40" s="7"/>
      <c r="H40" s="16"/>
    </row>
    <row r="41" spans="1:8" x14ac:dyDescent="0.35">
      <c r="A41" s="16"/>
      <c r="B41" s="28"/>
      <c r="C41" s="10"/>
      <c r="D41" s="9" t="s">
        <v>125</v>
      </c>
      <c r="E41" s="9"/>
      <c r="F41" s="9"/>
      <c r="G41" s="9"/>
      <c r="H41" s="16"/>
    </row>
    <row r="42" spans="1:8" x14ac:dyDescent="0.35">
      <c r="A42" s="16"/>
      <c r="B42" s="27" t="s">
        <v>127</v>
      </c>
      <c r="C42" s="8"/>
      <c r="D42" s="8" t="s">
        <v>19</v>
      </c>
      <c r="E42" s="8" t="s">
        <v>128</v>
      </c>
      <c r="F42" s="8"/>
      <c r="G42" s="8"/>
      <c r="H42" s="16"/>
    </row>
    <row r="43" spans="1:8" x14ac:dyDescent="0.35">
      <c r="A43" s="16"/>
      <c r="B43" s="29"/>
      <c r="C43" s="7"/>
      <c r="D43" s="7" t="s">
        <v>112</v>
      </c>
      <c r="E43" s="7" t="s">
        <v>129</v>
      </c>
      <c r="F43" s="7"/>
      <c r="G43" s="7"/>
      <c r="H43" s="16"/>
    </row>
    <row r="44" spans="1:8" x14ac:dyDescent="0.35">
      <c r="A44" s="16"/>
      <c r="B44" s="29"/>
      <c r="C44" s="7"/>
      <c r="D44" s="7" t="s">
        <v>22</v>
      </c>
      <c r="E44" s="7" t="s">
        <v>133</v>
      </c>
      <c r="F44" s="7"/>
      <c r="G44" s="7"/>
      <c r="H44" s="16"/>
    </row>
    <row r="45" spans="1:8" x14ac:dyDescent="0.35">
      <c r="A45" s="16"/>
      <c r="B45" s="29"/>
      <c r="C45" s="7"/>
      <c r="D45" s="7"/>
      <c r="E45" s="7" t="s">
        <v>130</v>
      </c>
      <c r="F45" s="7"/>
      <c r="G45" s="7"/>
      <c r="H45" s="16"/>
    </row>
    <row r="46" spans="1:8" x14ac:dyDescent="0.35">
      <c r="A46" s="16"/>
      <c r="B46" s="29"/>
      <c r="C46" s="7"/>
      <c r="D46" s="7"/>
      <c r="E46" s="7" t="s">
        <v>132</v>
      </c>
      <c r="F46" s="7"/>
      <c r="G46" s="7"/>
      <c r="H46" s="16"/>
    </row>
    <row r="47" spans="1:8" x14ac:dyDescent="0.35">
      <c r="A47" s="16"/>
      <c r="B47" s="28"/>
      <c r="C47" s="9"/>
      <c r="D47" s="9"/>
      <c r="E47" s="9" t="s">
        <v>131</v>
      </c>
      <c r="F47" s="9"/>
      <c r="G47" s="9"/>
      <c r="H47" s="16"/>
    </row>
    <row r="48" spans="1:8" x14ac:dyDescent="0.35">
      <c r="A48" s="16"/>
      <c r="B48" s="34" t="s">
        <v>40</v>
      </c>
      <c r="C48" s="7" t="s">
        <v>81</v>
      </c>
      <c r="D48" s="7" t="s">
        <v>92</v>
      </c>
      <c r="E48" s="7" t="s">
        <v>41</v>
      </c>
      <c r="F48" s="7"/>
      <c r="G48" s="7"/>
      <c r="H48" s="16"/>
    </row>
    <row r="49" spans="1:8" x14ac:dyDescent="0.35">
      <c r="A49" s="16"/>
      <c r="B49" s="34"/>
      <c r="C49" s="7"/>
      <c r="D49" s="7" t="s">
        <v>33</v>
      </c>
      <c r="E49" s="7" t="s">
        <v>42</v>
      </c>
      <c r="F49" s="7"/>
      <c r="G49" s="7"/>
      <c r="H49" s="16"/>
    </row>
    <row r="50" spans="1:8" x14ac:dyDescent="0.35">
      <c r="A50" s="16"/>
      <c r="B50" s="35"/>
      <c r="C50" s="7"/>
      <c r="D50" s="7" t="s">
        <v>110</v>
      </c>
      <c r="E50" s="7" t="s">
        <v>92</v>
      </c>
      <c r="F50" s="7"/>
      <c r="G50" s="7"/>
      <c r="H50" s="16"/>
    </row>
    <row r="51" spans="1:8" x14ac:dyDescent="0.35">
      <c r="A51" s="16"/>
      <c r="B51" s="30" t="s">
        <v>43</v>
      </c>
      <c r="C51" s="2" t="s">
        <v>81</v>
      </c>
      <c r="D51" s="2" t="s">
        <v>91</v>
      </c>
      <c r="E51" s="2" t="s">
        <v>44</v>
      </c>
      <c r="F51" s="2"/>
      <c r="G51" s="2"/>
      <c r="H51" s="16"/>
    </row>
    <row r="52" spans="1:8" x14ac:dyDescent="0.35">
      <c r="A52" s="16"/>
      <c r="B52" s="31"/>
      <c r="C52" s="3" t="s">
        <v>32</v>
      </c>
      <c r="D52" s="3" t="s">
        <v>33</v>
      </c>
      <c r="E52" s="3" t="s">
        <v>90</v>
      </c>
      <c r="F52" s="3"/>
      <c r="G52" s="3"/>
      <c r="H52" s="16"/>
    </row>
    <row r="53" spans="1:8" x14ac:dyDescent="0.35">
      <c r="A53" s="16"/>
      <c r="B53" s="31"/>
      <c r="C53" s="3"/>
      <c r="D53" s="3" t="s">
        <v>110</v>
      </c>
      <c r="E53" s="3"/>
      <c r="F53" s="3"/>
      <c r="G53" s="3"/>
      <c r="H53" s="16"/>
    </row>
    <row r="54" spans="1:8" x14ac:dyDescent="0.35">
      <c r="A54" s="16"/>
      <c r="B54" s="30" t="s">
        <v>45</v>
      </c>
      <c r="C54" s="2" t="s">
        <v>81</v>
      </c>
      <c r="D54" s="2" t="s">
        <v>92</v>
      </c>
      <c r="E54" s="2" t="s">
        <v>46</v>
      </c>
      <c r="F54" s="2"/>
      <c r="G54" s="2"/>
      <c r="H54" s="16"/>
    </row>
    <row r="55" spans="1:8" x14ac:dyDescent="0.35">
      <c r="A55" s="16"/>
      <c r="B55" s="31"/>
      <c r="C55" s="3"/>
      <c r="D55" s="3" t="s">
        <v>33</v>
      </c>
      <c r="E55" s="3" t="s">
        <v>90</v>
      </c>
      <c r="F55" s="3"/>
      <c r="G55" s="3"/>
      <c r="H55" s="16"/>
    </row>
    <row r="56" spans="1:8" x14ac:dyDescent="0.35">
      <c r="A56" s="16"/>
      <c r="B56" s="32"/>
      <c r="C56" s="3"/>
      <c r="D56" s="3" t="s">
        <v>16</v>
      </c>
      <c r="E56" s="3"/>
      <c r="F56" s="3"/>
      <c r="G56" s="3"/>
      <c r="H56" s="16"/>
    </row>
    <row r="57" spans="1:8" x14ac:dyDescent="0.35">
      <c r="A57" s="16"/>
      <c r="B57" s="21" t="s">
        <v>47</v>
      </c>
      <c r="C57" s="11" t="s">
        <v>48</v>
      </c>
      <c r="D57" s="11" t="s">
        <v>49</v>
      </c>
      <c r="E57" s="11" t="s">
        <v>50</v>
      </c>
      <c r="F57" s="11"/>
      <c r="G57" s="11"/>
      <c r="H57" s="16"/>
    </row>
    <row r="58" spans="1:8" x14ac:dyDescent="0.35">
      <c r="A58" s="16"/>
      <c r="B58" s="23"/>
      <c r="C58" s="12" t="s">
        <v>80</v>
      </c>
      <c r="D58" s="12" t="s">
        <v>94</v>
      </c>
      <c r="E58" s="12" t="s">
        <v>95</v>
      </c>
      <c r="F58" s="12"/>
      <c r="G58" s="12"/>
      <c r="H58" s="16"/>
    </row>
    <row r="59" spans="1:8" x14ac:dyDescent="0.35">
      <c r="A59" s="16"/>
      <c r="B59" s="21" t="s">
        <v>51</v>
      </c>
      <c r="C59" s="11" t="s">
        <v>52</v>
      </c>
      <c r="D59" s="11" t="s">
        <v>53</v>
      </c>
      <c r="E59" s="11" t="s">
        <v>54</v>
      </c>
      <c r="F59" s="11" t="s">
        <v>118</v>
      </c>
      <c r="G59" s="11" t="s">
        <v>55</v>
      </c>
      <c r="H59" s="16"/>
    </row>
    <row r="60" spans="1:8" x14ac:dyDescent="0.35">
      <c r="A60" s="16"/>
      <c r="B60" s="22"/>
      <c r="C60" s="12" t="s">
        <v>85</v>
      </c>
      <c r="D60" s="12" t="s">
        <v>98</v>
      </c>
      <c r="E60" s="12" t="s">
        <v>97</v>
      </c>
      <c r="F60" s="12" t="s">
        <v>119</v>
      </c>
      <c r="G60" s="12" t="s">
        <v>116</v>
      </c>
      <c r="H60" s="16"/>
    </row>
    <row r="61" spans="1:8" x14ac:dyDescent="0.35">
      <c r="A61" s="16"/>
      <c r="B61" s="33"/>
      <c r="C61" s="17" t="s">
        <v>79</v>
      </c>
      <c r="D61" s="12" t="s">
        <v>108</v>
      </c>
      <c r="E61" s="12" t="s">
        <v>106</v>
      </c>
      <c r="F61" s="12" t="s">
        <v>120</v>
      </c>
      <c r="G61" s="12"/>
      <c r="H61" s="16"/>
    </row>
    <row r="62" spans="1:8" x14ac:dyDescent="0.35">
      <c r="A62" s="16"/>
      <c r="B62" s="33"/>
      <c r="C62" s="17" t="s">
        <v>82</v>
      </c>
      <c r="D62" s="12"/>
      <c r="E62" s="12" t="s">
        <v>115</v>
      </c>
      <c r="F62" s="12"/>
      <c r="G62" s="12"/>
      <c r="H62" s="16"/>
    </row>
    <row r="63" spans="1:8" x14ac:dyDescent="0.35">
      <c r="A63" s="16"/>
      <c r="B63" s="23"/>
      <c r="C63" s="13" t="s">
        <v>109</v>
      </c>
      <c r="D63" s="13"/>
      <c r="E63" s="13"/>
      <c r="F63" s="13"/>
      <c r="G63" s="13"/>
      <c r="H63" s="20"/>
    </row>
    <row r="64" spans="1:8" ht="19.5" customHeight="1" x14ac:dyDescent="0.35">
      <c r="A64" s="16"/>
      <c r="B64" s="21" t="s">
        <v>56</v>
      </c>
      <c r="C64" s="11"/>
      <c r="D64" s="11" t="s">
        <v>57</v>
      </c>
      <c r="E64" s="11"/>
      <c r="F64" s="11"/>
      <c r="G64" s="11" t="s">
        <v>107</v>
      </c>
      <c r="H64" s="20"/>
    </row>
    <row r="65" spans="1:8" x14ac:dyDescent="0.35">
      <c r="A65" s="20"/>
      <c r="B65" s="22"/>
      <c r="C65" s="12"/>
      <c r="D65" s="12" t="s">
        <v>58</v>
      </c>
      <c r="E65" s="12"/>
      <c r="F65" s="12"/>
      <c r="G65" s="12" t="s">
        <v>96</v>
      </c>
      <c r="H65" s="20"/>
    </row>
    <row r="66" spans="1:8" x14ac:dyDescent="0.35">
      <c r="A66" s="20"/>
      <c r="B66" s="22"/>
      <c r="C66" s="12"/>
      <c r="D66" s="12" t="s">
        <v>59</v>
      </c>
      <c r="E66" s="12"/>
      <c r="F66" s="12"/>
      <c r="G66" s="12"/>
      <c r="H66" s="20"/>
    </row>
    <row r="67" spans="1:8" x14ac:dyDescent="0.35">
      <c r="A67" s="20"/>
      <c r="B67" s="23"/>
      <c r="C67" s="13"/>
      <c r="D67" s="13" t="s">
        <v>60</v>
      </c>
      <c r="E67" s="13"/>
      <c r="F67" s="13"/>
      <c r="G67" s="13"/>
      <c r="H67" s="20"/>
    </row>
    <row r="68" spans="1:8" x14ac:dyDescent="0.35">
      <c r="A68" s="20"/>
      <c r="B68" s="14"/>
      <c r="C68" s="16"/>
      <c r="D68" s="16"/>
      <c r="E68" s="16"/>
      <c r="F68" s="16"/>
      <c r="G68" s="16"/>
      <c r="H68" s="20"/>
    </row>
  </sheetData>
  <mergeCells count="16">
    <mergeCell ref="B64:B67"/>
    <mergeCell ref="B4:B6"/>
    <mergeCell ref="B7:B12"/>
    <mergeCell ref="B13:B14"/>
    <mergeCell ref="B15:B20"/>
    <mergeCell ref="B27:B29"/>
    <mergeCell ref="B51:B53"/>
    <mergeCell ref="B30:B33"/>
    <mergeCell ref="B21:B26"/>
    <mergeCell ref="B54:B56"/>
    <mergeCell ref="B34:B37"/>
    <mergeCell ref="B59:B63"/>
    <mergeCell ref="B57:B58"/>
    <mergeCell ref="B48:B50"/>
    <mergeCell ref="B38:B41"/>
    <mergeCell ref="B42:B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B1:C9"/>
  <sheetViews>
    <sheetView showGridLines="0" workbookViewId="0">
      <selection activeCell="B1" sqref="B1:C1"/>
    </sheetView>
  </sheetViews>
  <sheetFormatPr defaultRowHeight="14.5" x14ac:dyDescent="0.35"/>
  <cols>
    <col min="1" max="1" width="3.36328125" customWidth="1"/>
    <col min="2" max="2" width="50" customWidth="1"/>
    <col min="3" max="3" width="16" customWidth="1"/>
    <col min="5" max="5" width="34.26953125" customWidth="1"/>
    <col min="6" max="6" width="40.6328125" customWidth="1"/>
    <col min="7" max="7" width="36.453125" customWidth="1"/>
  </cols>
  <sheetData>
    <row r="1" spans="2:3" ht="26" customHeight="1" x14ac:dyDescent="0.35">
      <c r="B1" s="18" t="s">
        <v>61</v>
      </c>
      <c r="C1" s="19" t="s">
        <v>62</v>
      </c>
    </row>
    <row r="2" spans="2:3" x14ac:dyDescent="0.35">
      <c r="B2" t="s">
        <v>63</v>
      </c>
      <c r="C2" s="1" t="str">
        <f t="array" ref="C2">IF(SUMPRODUCT(--(IFERROR(MID(SUBSTITUTE(SUBSTITUTE(Operations!$C$4:$C$67," ",""),CHAR(160),""),FIND(":",SUBSTITUTE(SUBSTITUTE(Operations!$C$4:$C$67," ",""),CHAR(160),""))+1,999),"")=SUBSTITUTE(SUBSTITUTE($B2,"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3" spans="2:3" x14ac:dyDescent="0.35">
      <c r="B3" t="s">
        <v>64</v>
      </c>
      <c r="C3" s="1" t="str">
        <f t="array" ref="C3">IF(SUMPRODUCT(--(IFERROR(MID(SUBSTITUTE(SUBSTITUTE(Operations!$C$4:$C$67," ",""),CHAR(160),""),FIND(":",SUBSTITUTE(SUBSTITUTE(Operations!$C$4:$C$67," ",""),CHAR(160),""))+1,999),"")=SUBSTITUTE(SUBSTITUTE($B3,"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4" spans="2:3" x14ac:dyDescent="0.35">
      <c r="B4" t="s">
        <v>65</v>
      </c>
      <c r="C4" s="1" t="str">
        <f t="array" ref="C4">IF(SUMPRODUCT(--(IFERROR(MID(SUBSTITUTE(SUBSTITUTE(Operations!$C$4:$C$67," ",""),CHAR(160),""),FIND(":",SUBSTITUTE(SUBSTITUTE(Operations!$C$4:$C$67," ",""),CHAR(160),""))+1,999),"")=SUBSTITUTE(SUBSTITUTE($B4,"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5" spans="2:3" x14ac:dyDescent="0.35">
      <c r="B5" t="s">
        <v>66</v>
      </c>
      <c r="C5" s="1" t="str">
        <f t="array" ref="C5">IF(SUMPRODUCT(--(IFERROR(MID(SUBSTITUTE(SUBSTITUTE(Operations!$C$4:$C$67," ",""),CHAR(160),""),FIND(":",SUBSTITUTE(SUBSTITUTE(Operations!$C$4:$C$67," ",""),CHAR(160),""))+1,999),"")=SUBSTITUTE(SUBSTITUTE($B5,"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6" spans="2:3" x14ac:dyDescent="0.35">
      <c r="B6" t="s">
        <v>67</v>
      </c>
      <c r="C6" s="1" t="str">
        <f t="array" ref="C6">IF(SUMPRODUCT(--(IFERROR(MID(SUBSTITUTE(SUBSTITUTE(Operations!$C$4:$C$67," ",""),CHAR(160),""),FIND(":",SUBSTITUTE(SUBSTITUTE(Operations!$C$4:$C$67," ",""),CHAR(160),""))+1,999),"")=SUBSTITUTE(SUBSTITUTE($B6,"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7" spans="2:3" x14ac:dyDescent="0.35">
      <c r="B7" t="s">
        <v>68</v>
      </c>
      <c r="C7" s="1" t="str">
        <f t="array" ref="C7">IF(SUMPRODUCT(--(IFERROR(MID(SUBSTITUTE(SUBSTITUTE(Operations!$C$4:$C$67," ",""),CHAR(160),""),FIND(":",SUBSTITUTE(SUBSTITUTE(Operations!$C$4:$C$67," ",""),CHAR(160),""))+1,999),"")=SUBSTITUTE(SUBSTITUTE($B7,"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8" spans="2:3" x14ac:dyDescent="0.35">
      <c r="B8" t="s">
        <v>69</v>
      </c>
      <c r="C8" s="1" t="str">
        <f t="array" ref="C8">IF(SUMPRODUCT(--(IFERROR(MID(SUBSTITUTE(SUBSTITUTE(Operations!$C$4:$C$67," ",""),CHAR(160),""),FIND(":",SUBSTITUTE(SUBSTITUTE(Operations!$C$4:$C$67," ",""),CHAR(160),""))+1,999),"")=SUBSTITUTE(SUBSTITUTE($B8,"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  <row r="9" spans="2:3" x14ac:dyDescent="0.35">
      <c r="B9" t="s">
        <v>70</v>
      </c>
      <c r="C9" s="1" t="str">
        <f t="array" ref="C9">IF(SUMPRODUCT(--(IFERROR(MID(SUBSTITUTE(SUBSTITUTE(Operations!$C$4:$C$67," ",""),CHAR(160),""),FIND(":",SUBSTITUTE(SUBSTITUTE(Operations!$C$4:$C$67," ",""),CHAR(160),""))+1,999),"")=SUBSTITUTE(SUBSTITUTE($B9," ",""),CHAR(160),"")),--ISNUMBER(SEARCH("|F-&gt;&gt;B|","|"&amp;IFERROR(LEFT(SUBSTITUTE(SUBSTITUTE(Operations!$C$4:$C$67," ",""),CHAR(160),""),FIND(":",SUBSTITUTE(SUBSTITUTE(Operations!$C$4:$C$67,"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4404-3CF0-4BA1-A6B0-F8D736334AC5}">
  <sheetPr>
    <tabColor theme="9" tint="0.79998168889431442"/>
  </sheetPr>
  <dimension ref="B1:C3"/>
  <sheetViews>
    <sheetView showGridLines="0" workbookViewId="0">
      <selection activeCell="F20" sqref="F20"/>
    </sheetView>
  </sheetViews>
  <sheetFormatPr defaultRowHeight="14.5" x14ac:dyDescent="0.35"/>
  <cols>
    <col min="1" max="1" width="3.36328125" customWidth="1"/>
    <col min="2" max="2" width="50" customWidth="1"/>
    <col min="3" max="3" width="16" customWidth="1"/>
    <col min="5" max="5" width="34.26953125" customWidth="1"/>
    <col min="6" max="6" width="40.6328125" customWidth="1"/>
    <col min="7" max="7" width="36.453125" customWidth="1"/>
  </cols>
  <sheetData>
    <row r="1" spans="2:3" ht="26" customHeight="1" x14ac:dyDescent="0.35">
      <c r="B1" s="18" t="s">
        <v>61</v>
      </c>
      <c r="C1" s="19" t="s">
        <v>62</v>
      </c>
    </row>
    <row r="2" spans="2:3" x14ac:dyDescent="0.35">
      <c r="B2" t="s">
        <v>83</v>
      </c>
      <c r="C2" s="1" t="str" cm="1">
        <f t="array" ref="C2">IF(SUMPRODUCT(--(IFERROR(MID(SUBSTITUTE(SUBSTITUTE(Operations!$C$4:$C$67," ",""),CHAR(160),""),FIND(":",SUBSTITUTE(SUBSTITUTE(Operations!$C$4:$C$67," ",""),CHAR(160),""))+1,999),"")=SUBSTITUTE(SUBSTITUTE($B2," ",""),CHAR(160),"")),--ISNUMBER(SEARCH("|F-&gt;&gt;C|","|"&amp;IFERROR(LEFT(SUBSTITUTE(SUBSTITUTE(Operations!$C$4:$C$67," ",""),CHAR(160),""),FIND(":",SUBSTITUTE(SUBSTITUTE(Operations!$C$4:$C$67," ",""),CHAR(160),""))-1),"")&amp;"|")))&gt;0,"trovato","non trovato")</f>
        <v>trovato</v>
      </c>
    </row>
    <row r="3" spans="2:3" x14ac:dyDescent="0.35">
      <c r="B3" t="s">
        <v>84</v>
      </c>
      <c r="C3" s="1" t="str">
        <f t="array" ref="C3">IF(SUMPRODUCT(--(IFERROR(MID(SUBSTITUTE(SUBSTITUTE(Operations!$C$4:$C$67," ",""),CHAR(160),""),FIND(":",SUBSTITUTE(SUBSTITUTE(Operations!$C$4:$C$67," ",""),CHAR(160),""))+1,999),"")=SUBSTITUTE(SUBSTITUTE($B3," ",""),CHAR(160),"")),--ISNUMBER(SEARCH("|F-&gt;&gt;C|","|"&amp;IFERROR(LEFT(SUBSTITUTE(SUBSTITUTE(Operations!$C$4:$C$67," ",""),CHAR(160),""),FIND(":",SUBSTITUTE(SUBSTITUTE(Operations!$C$4:$C$67,"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9260-507B-4103-9B8E-867981428F6D}">
  <sheetPr>
    <tabColor theme="9" tint="0.79998168889431442"/>
  </sheetPr>
  <dimension ref="B1:C3"/>
  <sheetViews>
    <sheetView showGridLines="0" workbookViewId="0">
      <selection activeCell="D8" sqref="D8"/>
    </sheetView>
  </sheetViews>
  <sheetFormatPr defaultRowHeight="14.5" x14ac:dyDescent="0.35"/>
  <cols>
    <col min="1" max="1" width="3.36328125" customWidth="1"/>
    <col min="2" max="2" width="50" customWidth="1"/>
    <col min="3" max="3" width="16" customWidth="1"/>
    <col min="5" max="5" width="34.26953125" customWidth="1"/>
    <col min="6" max="6" width="40.6328125" customWidth="1"/>
    <col min="7" max="7" width="36.453125" customWidth="1"/>
  </cols>
  <sheetData>
    <row r="1" spans="2:3" ht="26" customHeight="1" x14ac:dyDescent="0.35">
      <c r="B1" s="18" t="s">
        <v>61</v>
      </c>
      <c r="C1" s="19" t="s">
        <v>62</v>
      </c>
    </row>
    <row r="2" spans="2:3" x14ac:dyDescent="0.35">
      <c r="B2" t="s">
        <v>67</v>
      </c>
      <c r="C2" s="1" t="str">
        <f t="array" ref="C2">IF(SUMPRODUCT(--(IFERROR(MID(SUBSTITUTE(SUBSTITUTE(Operations!$C$4:$C$67," ",""),CHAR(160),""),FIND(":",SUBSTITUTE(SUBSTITUTE(Operations!$C$4:$C$67," ",""),CHAR(160),""))+1,999),"")=SUBSTITUTE(SUBSTITUTE($B2," ",""),CHAR(160),"")),--ISNUMBER(SEARCH("|F-&gt;&gt;CU|","|"&amp;IFERROR(LEFT(SUBSTITUTE(SUBSTITUTE(Operations!$C$4:$C$67," ",""),CHAR(160),""),FIND(":",SUBSTITUTE(SUBSTITUTE(Operations!$C$4:$C$67," ",""),CHAR(160),""))-1),"")&amp;"|")))&gt;0,"trovato","non trovato")</f>
        <v>trovato</v>
      </c>
    </row>
    <row r="3" spans="2:3" x14ac:dyDescent="0.35">
      <c r="B3" t="s">
        <v>66</v>
      </c>
      <c r="C3" s="1" t="str">
        <f t="array" ref="C3">IF(SUMPRODUCT(--(IFERROR(MID(SUBSTITUTE(SUBSTITUTE(Operations!$C$4:$C$67," ",""),CHAR(160),""),FIND(":",SUBSTITUTE(SUBSTITUTE(Operations!$C$4:$C$67," ",""),CHAR(160),""))+1,999),"")=SUBSTITUTE(SUBSTITUTE($B3," ",""),CHAR(160),"")),--ISNUMBER(SEARCH("|F-&gt;&gt;CU|","|"&amp;IFERROR(LEFT(SUBSTITUTE(SUBSTITUTE(Operations!$C$4:$C$67," ",""),CHAR(160),""),FIND(":",SUBSTITUTE(SUBSTITUTE(Operations!$C$4:$C$67,"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9603-FE11-4AD0-8E80-22C003BB7E46}">
  <sheetPr>
    <tabColor theme="5" tint="0.79998168889431442"/>
  </sheetPr>
  <dimension ref="B1:I8"/>
  <sheetViews>
    <sheetView showGridLines="0" workbookViewId="0">
      <selection activeCell="C14" sqref="C14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66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86</v>
      </c>
      <c r="C3" s="1" t="str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  <row r="4" spans="2:9" x14ac:dyDescent="0.35">
      <c r="B4" t="s">
        <v>75</v>
      </c>
      <c r="C4" s="1" t="str">
        <f t="array" ref="C4">IF(SUMPRODUCT(--(IFERROR(MID(SUBSTITUTE(SUBSTITUTE(Operations!$D$4:$D$67," ",""),CHAR(160),""),FIND(":",SUBSTITUTE(SUBSTITUTE(Operations!$D$4:$D$67," ",""),CHAR(160),""))+1,999),"")=SUBSTITUTE(SUBSTITUTE($B4,"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4" s="1"/>
    </row>
    <row r="5" spans="2:9" x14ac:dyDescent="0.35">
      <c r="B5" t="s">
        <v>76</v>
      </c>
      <c r="C5" s="1" t="str">
        <f t="array" ref="C5">IF(SUMPRODUCT(--(IFERROR(MID(SUBSTITUTE(SUBSTITUTE(Operations!$D$4:$D$67," ",""),CHAR(160),""),FIND(":",SUBSTITUTE(SUBSTITUTE(Operations!$D$4:$D$67," ",""),CHAR(160),""))+1,999),"")=SUBSTITUTE(SUBSTITUTE($B5,"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5" s="1"/>
    </row>
    <row r="6" spans="2:9" x14ac:dyDescent="0.35">
      <c r="B6" t="s">
        <v>70</v>
      </c>
      <c r="C6" s="1" t="str">
        <f t="array" ref="C6">IF(SUMPRODUCT(--(IFERROR(MID(SUBSTITUTE(SUBSTITUTE(Operations!$D$4:$D$67," ",""),CHAR(160),""),FIND(":",SUBSTITUTE(SUBSTITUTE(Operations!$D$4:$D$67," ",""),CHAR(160),""))+1,999),"")=SUBSTITUTE(SUBSTITUTE($B6,"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6" s="1"/>
    </row>
    <row r="7" spans="2:9" x14ac:dyDescent="0.35">
      <c r="B7" t="s">
        <v>64</v>
      </c>
      <c r="C7" s="1" t="str">
        <f t="array" ref="C7">IF(SUMPRODUCT(--(IFERROR(MID(SUBSTITUTE(SUBSTITUTE(Operations!$D$4:$D$67," ",""),CHAR(160),""),FIND(":",SUBSTITUTE(SUBSTITUTE(Operations!$D$4:$D$67," ",""),CHAR(160),""))+1,999),"")=SUBSTITUTE(SUBSTITUTE($B7,"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7" s="1"/>
    </row>
    <row r="8" spans="2:9" x14ac:dyDescent="0.35">
      <c r="B8" t="s">
        <v>87</v>
      </c>
      <c r="C8" s="1" t="str">
        <f t="array" ref="C8">IF(SUMPRODUCT(--(IFERROR(MID(SUBSTITUTE(SUBSTITUTE(Operations!$D$4:$D$67," ",""),CHAR(160),""),FIND(":",SUBSTITUTE(SUBSTITUTE(Operations!$D$4:$D$67," ",""),CHAR(160),""))+1,999),"")=SUBSTITUTE(SUBSTITUTE($B8," ",""),CHAR(160),"")),--ISNUMBER(SEARCH("|B-&gt;&gt;F|","|"&amp;IFERROR(LEFT(SUBSTITUTE(SUBSTITUTE(Operations!$D$4:$D$67," ",""),CHAR(160),""),FIND(":",SUBSTITUTE(SUBSTITUTE(Operations!$D$4:$D$67," ",""),CHAR(160),""))-1),"")&amp;"|")))&gt;0,"trovato","non trovato")</f>
        <v>trovato</v>
      </c>
      <c r="I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32A9-18FA-4BEB-9C0B-8896F9752510}">
  <sheetPr>
    <tabColor theme="5" tint="0.79998168889431442"/>
  </sheetPr>
  <dimension ref="B1:I7"/>
  <sheetViews>
    <sheetView showGridLines="0" workbookViewId="0">
      <selection activeCell="D12" sqref="D12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66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67</v>
      </c>
      <c r="C3" s="1" t="str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  <row r="4" spans="2:9" x14ac:dyDescent="0.35">
      <c r="B4" t="s">
        <v>68</v>
      </c>
      <c r="C4" s="1" t="str">
        <f t="array" ref="C4">IF(SUMPRODUCT(--(IFERROR(MID(SUBSTITUTE(SUBSTITUTE(Operations!$D$4:$D$67," ",""),CHAR(160),""),FIND(":",SUBSTITUTE(SUBSTITUTE(Operations!$D$4:$D$67," ",""),CHAR(160),""))+1,999),"")=SUBSTITUTE(SUBSTITUTE($B4,"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4" s="1"/>
    </row>
    <row r="5" spans="2:9" x14ac:dyDescent="0.35">
      <c r="B5" t="s">
        <v>70</v>
      </c>
      <c r="C5" s="1" t="str">
        <f t="array" ref="C5">IF(SUMPRODUCT(--(IFERROR(MID(SUBSTITUTE(SUBSTITUTE(Operations!$D$4:$D$67," ",""),CHAR(160),""),FIND(":",SUBSTITUTE(SUBSTITUTE(Operations!$D$4:$D$67," ",""),CHAR(160),""))+1,999),"")=SUBSTITUTE(SUBSTITUTE($B5,"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5" s="1"/>
    </row>
    <row r="6" spans="2:9" x14ac:dyDescent="0.35">
      <c r="B6" t="s">
        <v>64</v>
      </c>
      <c r="C6" s="1" t="str">
        <f t="array" ref="C6">IF(SUMPRODUCT(--(IFERROR(MID(SUBSTITUTE(SUBSTITUTE(Operations!$D$4:$D$67," ",""),CHAR(160),""),FIND(":",SUBSTITUTE(SUBSTITUTE(Operations!$D$4:$D$67," ",""),CHAR(160),""))+1,999),"")=SUBSTITUTE(SUBSTITUTE($B6,"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6" s="1"/>
    </row>
    <row r="7" spans="2:9" x14ac:dyDescent="0.35">
      <c r="B7" t="s">
        <v>87</v>
      </c>
      <c r="C7" s="1" t="str">
        <f t="array" ref="C7">IF(SUMPRODUCT(--(IFERROR(MID(SUBSTITUTE(SUBSTITUTE(Operations!$D$4:$D$67," ",""),CHAR(160),""),FIND(":",SUBSTITUTE(SUBSTITUTE(Operations!$D$4:$D$67," ",""),CHAR(160),""))+1,999),"")=SUBSTITUTE(SUBSTITUTE($B7," ",""),CHAR(160),"")),--ISNUMBER(SEARCH("|B-&gt;&gt;E|","|"&amp;IFERROR(LEFT(SUBSTITUTE(SUBSTITUTE(Operations!$D$4:$D$67," ",""),CHAR(160),""),FIND(":",SUBSTITUTE(SUBSTITUTE(Operations!$D$4:$D$67," ",""),CHAR(160),""))-1),"")&amp;"|")))&gt;0,"trovato","non trovato")</f>
        <v>trovato</v>
      </c>
      <c r="I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102D-6122-485A-A0A0-A162C77DB5D2}">
  <sheetPr>
    <tabColor theme="5" tint="0.79998168889431442"/>
  </sheetPr>
  <dimension ref="B1:I5"/>
  <sheetViews>
    <sheetView showGridLines="0" workbookViewId="0">
      <selection activeCell="I19" sqref="I19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67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",""),CHAR(160),"")),--ISNUMBER(SEARCH("|B-&gt;&gt;RI|","|"&amp;IFERROR(LEFT(SUBSTITUTE(SUBSTITUTE(Operations!$D$4:$D$67,"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64</v>
      </c>
      <c r="C3" s="1" t="str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",""),CHAR(160),"")),--ISNUMBER(SEARCH("|B-&gt;&gt;RI|","|"&amp;IFERROR(LEFT(SUBSTITUTE(SUBSTITUTE(Operations!$D$4:$D$67,"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  <row r="4" spans="2:9" x14ac:dyDescent="0.35">
      <c r="B4" t="s">
        <v>66</v>
      </c>
      <c r="C4" s="1" t="str">
        <f t="array" ref="C4">IF(SUMPRODUCT(--(IFERROR(MID(SUBSTITUTE(SUBSTITUTE(Operations!$D$4:$D$67," ",""),CHAR(160),""),FIND(":",SUBSTITUTE(SUBSTITUTE(Operations!$D$4:$D$67," ",""),CHAR(160),""))+1,999),"")=SUBSTITUTE(SUBSTITUTE($B4," ",""),CHAR(160),"")),--ISNUMBER(SEARCH("|B-&gt;&gt;RI|","|"&amp;IFERROR(LEFT(SUBSTITUTE(SUBSTITUTE(Operations!$D$4:$D$67," ",""),CHAR(160),""),FIND(":",SUBSTITUTE(SUBSTITUTE(Operations!$D$4:$D$67," ",""),CHAR(160),""))-1),"")&amp;"|")))&gt;0,"trovato","non trovato")</f>
        <v>trovato</v>
      </c>
      <c r="I4" s="1"/>
    </row>
    <row r="5" spans="2:9" x14ac:dyDescent="0.35">
      <c r="B5" t="s">
        <v>70</v>
      </c>
      <c r="C5" s="1" t="str">
        <f t="array" ref="C5">IF(SUMPRODUCT(--(IFERROR(MID(SUBSTITUTE(SUBSTITUTE(Operations!$D$4:$D$67," ",""),CHAR(160),""),FIND(":",SUBSTITUTE(SUBSTITUTE(Operations!$D$4:$D$67," ",""),CHAR(160),""))+1,999),"")=SUBSTITUTE(SUBSTITUTE($B5," ",""),CHAR(160),"")),--ISNUMBER(SEARCH("|B-&gt;&gt;RI|","|"&amp;IFERROR(LEFT(SUBSTITUTE(SUBSTITUTE(Operations!$D$4:$D$67," ",""),CHAR(160),""),FIND(":",SUBSTITUTE(SUBSTITUTE(Operations!$D$4:$D$67," ",""),CHAR(160),""))-1),"")&amp;"|")))&gt;0,"trovato","non trovato")</f>
        <v>trovato</v>
      </c>
      <c r="I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28D7-55C1-4028-AB6D-D91EAD5C0918}">
  <sheetPr>
    <tabColor theme="5" tint="0.79998168889431442"/>
  </sheetPr>
  <dimension ref="B1:I4"/>
  <sheetViews>
    <sheetView showGridLines="0" workbookViewId="0">
      <selection activeCell="C2" sqref="C2:C4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66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",""),CHAR(160),"")),--ISNUMBER(SEARCH("|BOZES-&gt;&gt;BOADSP|","|"&amp;IFERROR(LEFT(SUBSTITUTE(SUBSTITUTE(Operations!$D$4:$D$67,"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122</v>
      </c>
      <c r="C3" s="1" t="str" cm="1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",""),CHAR(160),"")),--ISNUMBER(SEARCH("|BOZES-&gt;&gt;BOADSP|","|"&amp;IFERROR(LEFT(SUBSTITUTE(SUBSTITUTE(Operations!$D$4:$D$67,"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  <row r="4" spans="2:9" x14ac:dyDescent="0.35">
      <c r="B4" t="s">
        <v>70</v>
      </c>
      <c r="C4" s="1" t="str" cm="1">
        <f t="array" ref="C4">IF(SUMPRODUCT(--(IFERROR(MID(SUBSTITUTE(SUBSTITUTE(Operations!$D$4:$D$67," ",""),CHAR(160),""),FIND(":",SUBSTITUTE(SUBSTITUTE(Operations!$D$4:$D$67," ",""),CHAR(160),""))+1,999),"")=SUBSTITUTE(SUBSTITUTE($B4," ",""),CHAR(160),"")),--ISNUMBER(SEARCH("|BOZES-&gt;&gt;BOADSP|","|"&amp;IFERROR(LEFT(SUBSTITUTE(SUBSTITUTE(Operations!$D$4:$D$67," ",""),CHAR(160),""),FIND(":",SUBSTITUTE(SUBSTITUTE(Operations!$D$4:$D$67," ",""),CHAR(160),""))-1),"")&amp;"|")))&gt;0,"trovato","non trovato")</f>
        <v>trovato</v>
      </c>
      <c r="I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E191-991C-45E6-B50E-5CDFE600C29C}">
  <sheetPr>
    <tabColor theme="5" tint="0.79998168889431442"/>
  </sheetPr>
  <dimension ref="B1:I3"/>
  <sheetViews>
    <sheetView showGridLines="0" workbookViewId="0">
      <selection activeCell="C4" sqref="C4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66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",""),CHAR(160),"")),--ISNUMBER(SEARCH("|BOZES-&gt;&gt;BOADSP|","|"&amp;IFERROR(LEFT(SUBSTITUTE(SUBSTITUTE(Operations!$D$4:$D$67,"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64</v>
      </c>
      <c r="C3" s="1" t="str" cm="1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",""),CHAR(160),"")),--ISNUMBER(SEARCH("|BOADSP-&gt;&gt;BOZES|","|"&amp;IFERROR(LEFT(SUBSTITUTE(SUBSTITUTE(Operations!$D$4:$D$67,"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B462-4242-4C55-B254-2139CE72A16C}">
  <sheetPr>
    <tabColor theme="5" tint="0.79998168889431442"/>
  </sheetPr>
  <dimension ref="B1:I9"/>
  <sheetViews>
    <sheetView showGridLines="0" workbookViewId="0">
      <selection activeCell="C2" sqref="C2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  <col min="4" max="4" width="22.906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99</v>
      </c>
      <c r="C2" s="1" t="str" cm="1">
        <f t="array" ref="C2">IF(SUMPRODUCT(--(IFERROR(MID(SUBSTITUTE(SUBSTITUTE(Operations!$D$4:$D$67," ",""),CHAR(160),""),FIND(":",SUBSTITUTE(SUBSTITUTE(Operations!$D$4:$D$67," ",""),CHAR(160),""))+1,999),"")=SUBSTITUTE(SUBSTITUTE($B2,"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  <c r="I2" s="1"/>
    </row>
    <row r="3" spans="2:9" x14ac:dyDescent="0.35">
      <c r="B3" t="s">
        <v>100</v>
      </c>
      <c r="C3" s="1" t="str">
        <f t="array" ref="C3">IF(SUMPRODUCT(--(IFERROR(MID(SUBSTITUTE(SUBSTITUTE(Operations!$D$4:$D$67," ",""),CHAR(160),""),FIND(":",SUBSTITUTE(SUBSTITUTE(Operations!$D$4:$D$67," ",""),CHAR(160),""))+1,999),"")=SUBSTITUTE(SUBSTITUTE($B3,"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  <c r="I3" s="1"/>
    </row>
    <row r="4" spans="2:9" x14ac:dyDescent="0.35">
      <c r="B4" t="s">
        <v>101</v>
      </c>
      <c r="C4" s="1" t="str">
        <f t="array" ref="C4">IF(SUMPRODUCT(--(IFERROR(MID(SUBSTITUTE(SUBSTITUTE(Operations!$D$4:$D$67," ",""),CHAR(160),""),FIND(":",SUBSTITUTE(SUBSTITUTE(Operations!$D$4:$D$67," ",""),CHAR(160),""))+1,999),"")=SUBSTITUTE(SUBSTITUTE($B4,"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  <c r="I4" s="1"/>
    </row>
    <row r="5" spans="2:9" x14ac:dyDescent="0.35">
      <c r="B5" t="s">
        <v>102</v>
      </c>
      <c r="C5" s="1" t="str">
        <f t="array" ref="C5">IF(SUMPRODUCT(--(IFERROR(MID(SUBSTITUTE(SUBSTITUTE(Operations!$D$4:$D$67," ",""),CHAR(160),""),FIND(":",SUBSTITUTE(SUBSTITUTE(Operations!$D$4:$D$67," ",""),CHAR(160),""))+1,999),"")=SUBSTITUTE(SUBSTITUTE($B5,"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non trovato</v>
      </c>
      <c r="D5" t="s">
        <v>111</v>
      </c>
      <c r="I5" s="1"/>
    </row>
    <row r="6" spans="2:9" x14ac:dyDescent="0.35">
      <c r="B6" t="s">
        <v>103</v>
      </c>
      <c r="C6" s="1" t="str">
        <f t="array" ref="C6">IF(SUMPRODUCT(--(IFERROR(MID(SUBSTITUTE(SUBSTITUTE(Operations!$D$4:$D$67," ",""),CHAR(160),""),FIND(":",SUBSTITUTE(SUBSTITUTE(Operations!$D$4:$D$67," ",""),CHAR(160),""))+1,999),"")=SUBSTITUTE(SUBSTITUTE($B6,"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</row>
    <row r="7" spans="2:9" x14ac:dyDescent="0.35">
      <c r="B7" t="s">
        <v>84</v>
      </c>
      <c r="C7" s="1" t="str">
        <f t="array" ref="C7">IF(SUMPRODUCT(--(IFERROR(MID(SUBSTITUTE(SUBSTITUTE(Operations!$D$4:$D$67," ",""),CHAR(160),""),FIND(":",SUBSTITUTE(SUBSTITUTE(Operations!$D$4:$D$67," ",""),CHAR(160),""))+1,999),"")=SUBSTITUTE(SUBSTITUTE($B7,"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</row>
    <row r="8" spans="2:9" x14ac:dyDescent="0.35">
      <c r="B8" t="s">
        <v>104</v>
      </c>
      <c r="C8" s="1" t="str">
        <f t="array" ref="C8">IF(SUMPRODUCT(--(IFERROR(MID(SUBSTITUTE(SUBSTITUTE(Operations!$D$4:$D$67," ",""),CHAR(160),""),FIND(":",SUBSTITUTE(SUBSTITUTE(Operations!$D$4:$D$67," ",""),CHAR(160),""))+1,999),"")=SUBSTITUTE(SUBSTITUTE($B8,"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</row>
    <row r="9" spans="2:9" x14ac:dyDescent="0.35">
      <c r="B9" t="s">
        <v>105</v>
      </c>
      <c r="C9" s="1" t="str">
        <f t="array" ref="C9">IF(SUMPRODUCT(--(IFERROR(MID(SUBSTITUTE(SUBSTITUTE(Operations!$D$4:$D$67," ",""),CHAR(160),""),FIND(":",SUBSTITUTE(SUBSTITUTE(Operations!$D$4:$D$67," ",""),CHAR(160),""))+1,999),"")=SUBSTITUTE(SUBSTITUTE($B9," ",""),CHAR(160),"")),--ISNUMBER(SEARCH("|B-&gt;&gt;C|","|"&amp;IFERROR(LEFT(SUBSTITUTE(SUBSTITUTE(Operations!$D$4:$D$67," ",""),CHAR(160),""),FIND(":",SUBSTITUTE(SUBSTITUTE(Operations!$D$4:$D$67,"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E43B-549A-4357-8651-DE1D0FB3170A}">
  <sheetPr>
    <tabColor theme="4" tint="0.79998168889431442"/>
  </sheetPr>
  <dimension ref="B1:I12"/>
  <sheetViews>
    <sheetView showGridLines="0" workbookViewId="0">
      <selection activeCell="G18" sqref="G18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66</v>
      </c>
      <c r="C2" s="1" t="str" cm="1">
        <f t="array" ref="C2">IF(SUMPRODUCT(--(IFERROR(MID(SUBSTITUTE(SUBSTITUTE(Operations!$E$4:$E$67," ",""),CHAR(160),""),FIND(":",SUBSTITUTE(SUBSTITUTE(Operations!$E$4:$E$67," ",""),CHAR(160),""))+1,999),"")=SUBSTITUTE(SUBSTITUTE($B2,"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  <c r="I2" s="1"/>
    </row>
    <row r="3" spans="2:9" x14ac:dyDescent="0.35">
      <c r="B3" t="s">
        <v>71</v>
      </c>
      <c r="C3" s="1" t="str" cm="1">
        <f t="array" ref="C3">IF(SUMPRODUCT(--(IFERROR(MID(SUBSTITUTE(SUBSTITUTE(Operations!$E$4:$E$67," ",""),CHAR(160),""),FIND(":",SUBSTITUTE(SUBSTITUTE(Operations!$E$4:$E$67," ",""),CHAR(160),""))+1,999),"")=SUBSTITUTE(SUBSTITUTE($B3,"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  <c r="I3" s="1"/>
    </row>
    <row r="4" spans="2:9" x14ac:dyDescent="0.35">
      <c r="B4" t="s">
        <v>72</v>
      </c>
      <c r="C4" s="1" t="str" cm="1">
        <f t="array" ref="C4">IF(SUMPRODUCT(--(IFERROR(MID(SUBSTITUTE(SUBSTITUTE(Operations!$E$4:$E$67," ",""),CHAR(160),""),FIND(":",SUBSTITUTE(SUBSTITUTE(Operations!$E$4:$E$67," ",""),CHAR(160),""))+1,999),"")=SUBSTITUTE(SUBSTITUTE($B4,"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  <c r="I4" s="1"/>
    </row>
    <row r="5" spans="2:9" x14ac:dyDescent="0.35">
      <c r="B5" t="s">
        <v>73</v>
      </c>
      <c r="C5" s="1" t="str" cm="1">
        <f t="array" ref="C5">IF(SUMPRODUCT(--(IFERROR(MID(SUBSTITUTE(SUBSTITUTE(Operations!$E$4:$E$67," ",""),CHAR(160),""),FIND(":",SUBSTITUTE(SUBSTITUTE(Operations!$E$4:$E$67," ",""),CHAR(160),""))+1,999),"")=SUBSTITUTE(SUBSTITUTE($B5,"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  <c r="I5" s="1"/>
    </row>
    <row r="6" spans="2:9" x14ac:dyDescent="0.35">
      <c r="B6" t="s">
        <v>74</v>
      </c>
      <c r="C6" s="1" t="str" cm="1">
        <f t="array" ref="C6">IF(SUMPRODUCT(--(IFERROR(MID(SUBSTITUTE(SUBSTITUTE(Operations!$E$4:$E$67," ",""),CHAR(160),""),FIND(":",SUBSTITUTE(SUBSTITUTE(Operations!$E$4:$E$67," ",""),CHAR(160),""))+1,999),"")=SUBSTITUTE(SUBSTITUTE($B6,"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7" spans="2:9" x14ac:dyDescent="0.35">
      <c r="B7" t="s">
        <v>75</v>
      </c>
      <c r="C7" s="1" t="str" cm="1">
        <f t="array" ref="C7">IF(SUMPRODUCT(--(IFERROR(MID(SUBSTITUTE(SUBSTITUTE(Operations!$E$4:$E$67," ",""),CHAR(160),""),FIND(":",SUBSTITUTE(SUBSTITUTE(Operations!$E$4:$E$67," ",""),CHAR(160),""))+1,999),"")=SUBSTITUTE(SUBSTITUTE($B7,"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8" spans="2:9" x14ac:dyDescent="0.35">
      <c r="B8" t="s">
        <v>76</v>
      </c>
      <c r="C8" s="1" t="str" cm="1">
        <f t="array" ref="C8">IF(SUMPRODUCT(--(IFERROR(MID(SUBSTITUTE(SUBSTITUTE(Operations!$E$4:$E$67," ",""),CHAR(160),""),FIND(":",SUBSTITUTE(SUBSTITUTE(Operations!$E$4:$E$67," ",""),CHAR(160),""))+1,999),"")=SUBSTITUTE(SUBSTITUTE($B8,"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9" spans="2:9" x14ac:dyDescent="0.35">
      <c r="B9" t="s">
        <v>70</v>
      </c>
      <c r="C9" s="1" t="str" cm="1">
        <f t="array" ref="C9">IF(SUMPRODUCT(--(IFERROR(MID(SUBSTITUTE(SUBSTITUTE(Operations!$E$4:$E$67," ",""),CHAR(160),""),FIND(":",SUBSTITUTE(SUBSTITUTE(Operations!$E$4:$E$67," ",""),CHAR(160),""))+1,999),"")=SUBSTITUTE(SUBSTITUTE($B9,"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10" spans="2:9" x14ac:dyDescent="0.35">
      <c r="B10" t="s">
        <v>64</v>
      </c>
      <c r="C10" s="1" t="str" cm="1">
        <f t="array" ref="C10">IF(SUMPRODUCT(--(IFERROR(MID(SUBSTITUTE(SUBSTITUTE(Operations!$E$4:$E$67," ",""),CHAR(160),""),FIND(":",SUBSTITUTE(SUBSTITUTE(Operations!$E$4:$E$67," ",""),CHAR(160),""))+1,999),"")=SUBSTITUTE(SUBSTITUTE($B10,"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11" spans="2:9" x14ac:dyDescent="0.35">
      <c r="B11" t="s">
        <v>77</v>
      </c>
      <c r="C11" s="1" t="str" cm="1">
        <f t="array" ref="C11">IF(SUMPRODUCT(--(IFERROR(MID(SUBSTITUTE(SUBSTITUTE(Operations!$E$4:$E$67," ",""),CHAR(160),""),FIND(":",SUBSTITUTE(SUBSTITUTE(Operations!$E$4:$E$67," ",""),CHAR(160),""))+1,999),"")=SUBSTITUTE(SUBSTITUTE($B11,"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  <row r="12" spans="2:9" x14ac:dyDescent="0.35">
      <c r="B12" t="s">
        <v>78</v>
      </c>
      <c r="C12" s="1" t="str" cm="1">
        <f t="array" ref="C12">IF(SUMPRODUCT(--(IFERROR(MID(SUBSTITUTE(SUBSTITUTE(Operations!$E$4:$E$67," ",""),CHAR(160),""),FIND(":",SUBSTITUTE(SUBSTITUTE(Operations!$E$4:$E$67," ",""),CHAR(160),""))+1,999),"")=SUBSTITUTE(SUBSTITUTE($B12," ",""),CHAR(160),"")),--ISNUMBER(SEARCH("|E-&gt;&gt;B|","|"&amp;IFERROR(LEFT(SUBSTITUTE(SUBSTITUTE(Operations!$E$4:$E$67," ",""),CHAR(160),""),FIND(":",SUBSTITUTE(SUBSTITUTE(Operations!$E$4:$E$67,"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B20A-1479-4F04-A85C-C5C07C6D77E3}">
  <sheetPr>
    <tabColor theme="4" tint="0.79998168889431442"/>
  </sheetPr>
  <dimension ref="B1:I9"/>
  <sheetViews>
    <sheetView showGridLines="0" workbookViewId="0">
      <selection activeCell="E19" sqref="E19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  <col min="4" max="4" width="47.906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67</v>
      </c>
      <c r="C2" s="1" t="str" cm="1">
        <f t="array" ref="C2">IF(SUMPRODUCT(--(IFERROR(MID(SUBSTITUTE(SUBSTITUTE(Operations!$E$4:$E$67," ",""),CHAR(160),""),FIND(":",SUBSTITUTE(SUBSTITUTE(Operations!$E$4:$E$67," ",""),CHAR(160),""))+1,999),"")=SUBSTITUTE(SUBSTITUTE($B2,"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  <c r="I2" s="1"/>
    </row>
    <row r="3" spans="2:9" x14ac:dyDescent="0.35">
      <c r="B3" t="s">
        <v>70</v>
      </c>
      <c r="C3" s="1" t="str" cm="1">
        <f t="array" ref="C3">IF(SUMPRODUCT(--(IFERROR(MID(SUBSTITUTE(SUBSTITUTE(Operations!$E$4:$E$67," ",""),CHAR(160),""),FIND(":",SUBSTITUTE(SUBSTITUTE(Operations!$E$4:$E$67," ",""),CHAR(160),""))+1,999),"")=SUBSTITUTE(SUBSTITUTE($B3,"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non trovato</v>
      </c>
      <c r="D3" t="s">
        <v>134</v>
      </c>
    </row>
    <row r="4" spans="2:9" x14ac:dyDescent="0.35">
      <c r="B4" t="s">
        <v>75</v>
      </c>
      <c r="C4" s="1" t="str" cm="1">
        <f t="array" ref="C4">IF(SUMPRODUCT(--(IFERROR(MID(SUBSTITUTE(SUBSTITUTE(Operations!$E$4:$E$67," ",""),CHAR(160),""),FIND(":",SUBSTITUTE(SUBSTITUTE(Operations!$E$4:$E$67," ",""),CHAR(160),""))+1,999),"")=SUBSTITUTE(SUBSTITUTE($B4,"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</row>
    <row r="5" spans="2:9" x14ac:dyDescent="0.35">
      <c r="B5" t="s">
        <v>76</v>
      </c>
      <c r="C5" s="1" t="str" cm="1">
        <f t="array" ref="C5">IF(SUMPRODUCT(--(IFERROR(MID(SUBSTITUTE(SUBSTITUTE(Operations!$E$4:$E$67," ",""),CHAR(160),""),FIND(":",SUBSTITUTE(SUBSTITUTE(Operations!$E$4:$E$67," ",""),CHAR(160),""))+1,999),"")=SUBSTITUTE(SUBSTITUTE($B5,"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</row>
    <row r="6" spans="2:9" x14ac:dyDescent="0.35">
      <c r="B6" t="s">
        <v>74</v>
      </c>
      <c r="C6" s="1" t="str" cm="1">
        <f t="array" ref="C6">IF(SUMPRODUCT(--(IFERROR(MID(SUBSTITUTE(SUBSTITUTE(Operations!$E$4:$E$67," ",""),CHAR(160),""),FIND(":",SUBSTITUTE(SUBSTITUTE(Operations!$E$4:$E$67," ",""),CHAR(160),""))+1,999),"")=SUBSTITUTE(SUBSTITUTE($B6,"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</row>
    <row r="7" spans="2:9" x14ac:dyDescent="0.35">
      <c r="B7" t="s">
        <v>72</v>
      </c>
      <c r="C7" s="1" t="str" cm="1">
        <f t="array" ref="C7">IF(SUMPRODUCT(--(IFERROR(MID(SUBSTITUTE(SUBSTITUTE(Operations!$E$4:$E$67," ",""),CHAR(160),""),FIND(":",SUBSTITUTE(SUBSTITUTE(Operations!$E$4:$E$67," ",""),CHAR(160),""))+1,999),"")=SUBSTITUTE(SUBSTITUTE($B7,"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</row>
    <row r="8" spans="2:9" x14ac:dyDescent="0.35">
      <c r="B8" t="s">
        <v>64</v>
      </c>
      <c r="C8" s="1" t="str" cm="1">
        <f t="array" ref="C8">IF(SUMPRODUCT(--(IFERROR(MID(SUBSTITUTE(SUBSTITUTE(Operations!$E$4:$E$67," ",""),CHAR(160),""),FIND(":",SUBSTITUTE(SUBSTITUTE(Operations!$E$4:$E$67," ",""),CHAR(160),""))+1,999),"")=SUBSTITUTE(SUBSTITUTE($B8,"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trovato</v>
      </c>
    </row>
    <row r="9" spans="2:9" x14ac:dyDescent="0.35">
      <c r="B9" t="s">
        <v>66</v>
      </c>
      <c r="C9" s="1" t="str" cm="1">
        <f t="array" ref="C9">IF(SUMPRODUCT(--(IFERROR(MID(SUBSTITUTE(SUBSTITUTE(Operations!$E$4:$E$67," ",""),CHAR(160),""),FIND(":",SUBSTITUTE(SUBSTITUTE(Operations!$E$4:$E$67," ",""),CHAR(160),""))+1,999),"")=SUBSTITUTE(SUBSTITUTE($B9," ",""),CHAR(160),"")),--ISNUMBER(SEARCH("|E-&gt;&gt;E|","|"&amp;IFERROR(LEFT(SUBSTITUTE(SUBSTITUTE(Operations!$E$4:$E$67," ",""),CHAR(160),""),FIND(":",SUBSTITUTE(SUBSTITUTE(Operations!$E$4:$E$67," ",""),CHAR(160),""))-1),"")&amp;"|")))&gt;0,"trovato","non trovato")</f>
        <v>non trovato</v>
      </c>
      <c r="D9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B637-F347-4636-9153-92F7FC0B0651}">
  <sheetPr>
    <tabColor theme="4" tint="0.79998168889431442"/>
  </sheetPr>
  <dimension ref="B1:I4"/>
  <sheetViews>
    <sheetView showGridLines="0" workbookViewId="0">
      <selection activeCell="C2" sqref="C2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99</v>
      </c>
      <c r="C2" s="1" t="str" cm="1">
        <f t="array" ref="C2">IF(SUMPRODUCT(--(IFERROR(MID(SUBSTITUTE(SUBSTITUTE(Operations!$E$4:$E$67," ",""),CHAR(160),""),FIND(":",SUBSTITUTE(SUBSTITUTE(Operations!$E$4:$E$67," ",""),CHAR(160),""))+1,999),"")=SUBSTITUTE(SUBSTITUTE($B2," ",""),CHAR(160),"")),--ISNUMBER(SEARCH("|E-&gt;&gt;C|","|"&amp;IFERROR(LEFT(SUBSTITUTE(SUBSTITUTE(Operations!$E$4:$E$67," ",""),CHAR(160),""),FIND(":",SUBSTITUTE(SUBSTITUTE(Operations!$E$4:$E$67," ",""),CHAR(160),""))-1),"")&amp;"|")))&gt;0,"trovato","non trovato")</f>
        <v>trovato</v>
      </c>
      <c r="I2" s="1"/>
    </row>
    <row r="3" spans="2:9" x14ac:dyDescent="0.35">
      <c r="B3" t="s">
        <v>84</v>
      </c>
      <c r="C3" s="1" t="str" cm="1">
        <f t="array" ref="C3">IF(SUMPRODUCT(--(IFERROR(MID(SUBSTITUTE(SUBSTITUTE(Operations!$E$4:$E$67," ",""),CHAR(160),""),FIND(":",SUBSTITUTE(SUBSTITUTE(Operations!$E$4:$E$67," ",""),CHAR(160),""))+1,999),"")=SUBSTITUTE(SUBSTITUTE($B3," ",""),CHAR(160),"")),--ISNUMBER(SEARCH("|E-&gt;&gt;C|","|"&amp;IFERROR(LEFT(SUBSTITUTE(SUBSTITUTE(Operations!$E$4:$E$67," ",""),CHAR(160),""),FIND(":",SUBSTITUTE(SUBSTITUTE(Operations!$E$4:$E$67," ",""),CHAR(160),""))-1),"")&amp;"|")))&gt;0,"trovato","non trovato")</f>
        <v>trovato</v>
      </c>
      <c r="I3" s="1"/>
    </row>
    <row r="4" spans="2:9" x14ac:dyDescent="0.35">
      <c r="B4" t="s">
        <v>114</v>
      </c>
      <c r="C4" s="1" t="str" cm="1">
        <f t="array" ref="C4">IF(SUMPRODUCT(--(IFERROR(MID(SUBSTITUTE(SUBSTITUTE(Operations!$E$4:$E$67," ",""),CHAR(160),""),FIND(":",SUBSTITUTE(SUBSTITUTE(Operations!$E$4:$E$67," ",""),CHAR(160),""))+1,999),"")=SUBSTITUTE(SUBSTITUTE($B4," ",""),CHAR(160),"")),--ISNUMBER(SEARCH("|E-&gt;&gt;C|","|"&amp;IFERROR(LEFT(SUBSTITUTE(SUBSTITUTE(Operations!$E$4:$E$67," ",""),CHAR(160),""),FIND(":",SUBSTITUTE(SUBSTITUTE(Operations!$E$4:$E$67," ",""),CHAR(160),""))-1),"")&amp;"|")))&gt;0,"trovato","non trovato")</f>
        <v>trovato</v>
      </c>
      <c r="I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FBF6-BFBF-472E-B377-96329EC804D6}">
  <sheetPr>
    <tabColor theme="2" tint="-9.9978637043366805E-2"/>
  </sheetPr>
  <dimension ref="B1:I6"/>
  <sheetViews>
    <sheetView showGridLines="0" workbookViewId="0">
      <selection activeCell="G12" sqref="G12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117</v>
      </c>
      <c r="C2" s="1" t="str" cm="1">
        <f t="array" ref="C2">IF(SUMPRODUCT(--(IFERROR(MID(SUBSTITUTE(SUBSTITUTE(Operations!$F$4:$F$67," ",""),CHAR(160),""),FIND(":",SUBSTITUTE(SUBSTITUTE(Operations!$F$4:$F$67," ",""),CHAR(160),""))+1,999),"")=SUBSTITUTE(SUBSTITUTE($B2," ",""),CHAR(160),"")),--ISNUMBER(SEARCH("|CU-&gt;&gt;F|","|"&amp;IFERROR(LEFT(SUBSTITUTE(SUBSTITUTE(Operations!$F$4:$F$67," ",""),CHAR(160),""),FIND(":",SUBSTITUTE(SUBSTITUTE(Operations!$F$4:$F$67," ",""),CHAR(160),""))-1),"")&amp;"|")))&gt;0,"trovato","non trovato")</f>
        <v>trovato</v>
      </c>
      <c r="I2" s="1"/>
    </row>
    <row r="3" spans="2:9" x14ac:dyDescent="0.35">
      <c r="B3" t="s">
        <v>66</v>
      </c>
      <c r="C3" s="1" t="str" cm="1">
        <f t="array" ref="C3">IF(SUMPRODUCT(--(IFERROR(MID(SUBSTITUTE(SUBSTITUTE(Operations!$F$4:$F$67," ",""),CHAR(160),""),FIND(":",SUBSTITUTE(SUBSTITUTE(Operations!$F$4:$F$67," ",""),CHAR(160),""))+1,999),"")=SUBSTITUTE(SUBSTITUTE($B3," ",""),CHAR(160),"")),--ISNUMBER(SEARCH("|CU-&gt;&gt;F|","|"&amp;IFERROR(LEFT(SUBSTITUTE(SUBSTITUTE(Operations!$F$4:$F$67," ",""),CHAR(160),""),FIND(":",SUBSTITUTE(SUBSTITUTE(Operations!$F$4:$F$67," ",""),CHAR(160),""))-1),"")&amp;"|")))&gt;0,"trovato","non trovato")</f>
        <v>trovato</v>
      </c>
      <c r="I3" s="1"/>
    </row>
    <row r="4" spans="2:9" x14ac:dyDescent="0.35">
      <c r="B4" t="s">
        <v>63</v>
      </c>
      <c r="C4" s="1" t="str" cm="1">
        <f t="array" ref="C4">IF(SUMPRODUCT(--(IFERROR(MID(SUBSTITUTE(SUBSTITUTE(Operations!$F$4:$F$67," ",""),CHAR(160),""),FIND(":",SUBSTITUTE(SUBSTITUTE(Operations!$F$4:$F$67," ",""),CHAR(160),""))+1,999),"")=SUBSTITUTE(SUBSTITUTE($B4," ",""),CHAR(160),"")),--ISNUMBER(SEARCH("|CU-&gt;&gt;F|","|"&amp;IFERROR(LEFT(SUBSTITUTE(SUBSTITUTE(Operations!$F$4:$F$67," ",""),CHAR(160),""),FIND(":",SUBSTITUTE(SUBSTITUTE(Operations!$F$4:$F$67," ",""),CHAR(160),""))-1),"")&amp;"|")))&gt;0,"trovato","non trovato")</f>
        <v>trovato</v>
      </c>
      <c r="I4" s="1"/>
    </row>
    <row r="5" spans="2:9" x14ac:dyDescent="0.35">
      <c r="B5" t="s">
        <v>70</v>
      </c>
      <c r="C5" s="1" t="str" cm="1">
        <f t="array" ref="C5">IF(SUMPRODUCT(--(IFERROR(MID(SUBSTITUTE(SUBSTITUTE(Operations!$F$4:$F$67," ",""),CHAR(160),""),FIND(":",SUBSTITUTE(SUBSTITUTE(Operations!$F$4:$F$67," ",""),CHAR(160),""))+1,999),"")=SUBSTITUTE(SUBSTITUTE($B5," ",""),CHAR(160),"")),--ISNUMBER(SEARCH("|CU-&gt;&gt;F|","|"&amp;IFERROR(LEFT(SUBSTITUTE(SUBSTITUTE(Operations!$F$4:$F$67," ",""),CHAR(160),""),FIND(":",SUBSTITUTE(SUBSTITUTE(Operations!$F$4:$F$67," ",""),CHAR(160),""))-1),"")&amp;"|")))&gt;0,"trovato","non trovato")</f>
        <v>trovato</v>
      </c>
    </row>
    <row r="6" spans="2:9" x14ac:dyDescent="0.35">
      <c r="B6" t="s">
        <v>65</v>
      </c>
      <c r="C6" s="1" t="str" cm="1">
        <f t="array" ref="C6">IF(SUMPRODUCT(--(IFERROR(MID(SUBSTITUTE(SUBSTITUTE(Operations!$F$4:$F$67," ",""),CHAR(160),""),FIND(":",SUBSTITUTE(SUBSTITUTE(Operations!$F$4:$F$67," ",""),CHAR(160),""))+1,999),"")=SUBSTITUTE(SUBSTITUTE($B6," ",""),CHAR(160),"")),--ISNUMBER(SEARCH("|CU-&gt;&gt;F|","|"&amp;IFERROR(LEFT(SUBSTITUTE(SUBSTITUTE(Operations!$F$4:$F$67," ",""),CHAR(160),""),FIND(":",SUBSTITUTE(SUBSTITUTE(Operations!$F$4:$F$67,"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761D-B63B-46E5-B6E8-01054DD88CF9}">
  <sheetPr>
    <tabColor theme="2" tint="-9.9978637043366805E-2"/>
  </sheetPr>
  <dimension ref="B1:I2"/>
  <sheetViews>
    <sheetView showGridLines="0" workbookViewId="0">
      <selection activeCell="C2" sqref="C2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99</v>
      </c>
      <c r="C2" s="1" t="str" cm="1">
        <f t="array" ref="C2">IF(SUMPRODUCT(--(IFERROR(MID(SUBSTITUTE(SUBSTITUTE(Operations!$F$4:$F$67," ",""),CHAR(160),""),FIND(":",SUBSTITUTE(SUBSTITUTE(Operations!$F$4:$F$67," ",""),CHAR(160),""))+1,999),"")=SUBSTITUTE(SUBSTITUTE($B2," ",""),CHAR(160),"")),--ISNUMBER(SEARCH("|CU-&gt;&gt;C|","|"&amp;IFERROR(LEFT(SUBSTITUTE(SUBSTITUTE(Operations!$F$4:$F$67," ",""),CHAR(160),""),FIND(":",SUBSTITUTE(SUBSTITUTE(Operations!$F$4:$F$67," ",""),CHAR(160),""))-1),"")&amp;"|")))&gt;0,"trovato","non trovato")</f>
        <v>trovato</v>
      </c>
      <c r="I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9FD0-90C3-407C-AD98-20B5AB76CD54}">
  <sheetPr>
    <tabColor theme="8" tint="0.79998168889431442"/>
  </sheetPr>
  <dimension ref="B1:I5"/>
  <sheetViews>
    <sheetView showGridLines="0" workbookViewId="0">
      <selection activeCell="I21" sqref="I21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67</v>
      </c>
      <c r="C2" s="1" t="str" cm="1">
        <f t="array" ref="C2">IF(SUMPRODUCT(--(IFERROR(MID(SUBSTITUTE(SUBSTITUTE(Operations!$G$4:$G$67," ",""),CHAR(160),""),FIND(":",SUBSTITUTE(SUBSTITUTE(Operations!$G$4:$G$67," ",""),CHAR(160),""))+1,999),"")=SUBSTITUTE(SUBSTITUTE($B2," ",""),CHAR(160),"")),--ISNUMBER(SEARCH("|RI-&gt;&gt;B|","|"&amp;IFERROR(LEFT(SUBSTITUTE(SUBSTITUTE(Operations!$G$4:$G$67," ",""),CHAR(160),""),FIND(":",SUBSTITUTE(SUBSTITUTE(Operations!$G$4:$G$67," ",""),CHAR(160),""))-1),"")&amp;"|")))&gt;0,"trovato","non trovato")</f>
        <v>trovato</v>
      </c>
      <c r="I2" s="1"/>
    </row>
    <row r="3" spans="2:9" x14ac:dyDescent="0.35">
      <c r="B3" t="s">
        <v>66</v>
      </c>
      <c r="C3" s="1" t="str" cm="1">
        <f t="array" ref="C3">IF(SUMPRODUCT(--(IFERROR(MID(SUBSTITUTE(SUBSTITUTE(Operations!$G$4:$G$67," ",""),CHAR(160),""),FIND(":",SUBSTITUTE(SUBSTITUTE(Operations!$G$4:$G$67," ",""),CHAR(160),""))+1,999),"")=SUBSTITUTE(SUBSTITUTE($B3," ",""),CHAR(160),"")),--ISNUMBER(SEARCH("|RI-&gt;&gt;B|","|"&amp;IFERROR(LEFT(SUBSTITUTE(SUBSTITUTE(Operations!$G$4:$G$67," ",""),CHAR(160),""),FIND(":",SUBSTITUTE(SUBSTITUTE(Operations!$G$4:$G$67," ",""),CHAR(160),""))-1),"")&amp;"|")))&gt;0,"trovato","non trovato")</f>
        <v>trovato</v>
      </c>
      <c r="I3" s="1"/>
    </row>
    <row r="4" spans="2:9" x14ac:dyDescent="0.35">
      <c r="B4" t="s">
        <v>63</v>
      </c>
      <c r="C4" s="1" t="str" cm="1">
        <f t="array" ref="C4">IF(SUMPRODUCT(--(IFERROR(MID(SUBSTITUTE(SUBSTITUTE(Operations!$G$4:$G$67," ",""),CHAR(160),""),FIND(":",SUBSTITUTE(SUBSTITUTE(Operations!$G$4:$G$67," ",""),CHAR(160),""))+1,999),"")=SUBSTITUTE(SUBSTITUTE($B4," ",""),CHAR(160),"")),--ISNUMBER(SEARCH("|RI-&gt;&gt;B|","|"&amp;IFERROR(LEFT(SUBSTITUTE(SUBSTITUTE(Operations!$G$4:$G$67," ",""),CHAR(160),""),FIND(":",SUBSTITUTE(SUBSTITUTE(Operations!$G$4:$G$67," ",""),CHAR(160),""))-1),"")&amp;"|")))&gt;0,"trovato","non trovato")</f>
        <v>trovato</v>
      </c>
      <c r="I4" s="1"/>
    </row>
    <row r="5" spans="2:9" x14ac:dyDescent="0.35">
      <c r="B5" t="s">
        <v>70</v>
      </c>
      <c r="C5" s="1" t="str" cm="1">
        <f t="array" ref="C5">IF(SUMPRODUCT(--(IFERROR(MID(SUBSTITUTE(SUBSTITUTE(Operations!$G$4:$G$67," ",""),CHAR(160),""),FIND(":",SUBSTITUTE(SUBSTITUTE(Operations!$G$4:$G$67," ",""),CHAR(160),""))+1,999),"")=SUBSTITUTE(SUBSTITUTE($B5," ",""),CHAR(160),"")),--ISNUMBER(SEARCH("|RI-&gt;&gt;B|","|"&amp;IFERROR(LEFT(SUBSTITUTE(SUBSTITUTE(Operations!$G$4:$G$67," ",""),CHAR(160),""),FIND(":",SUBSTITUTE(SUBSTITUTE(Operations!$G$4:$G$67," ",""),CHAR(160),""))-1),"")&amp;"|")))&gt;0,"trovato","non trovato")</f>
        <v>trovato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DBBE-50A1-410C-BE8A-CF7CD75768FF}">
  <sheetPr>
    <tabColor theme="8" tint="0.79998168889431442"/>
  </sheetPr>
  <dimension ref="B1:I4"/>
  <sheetViews>
    <sheetView showGridLines="0" workbookViewId="0">
      <selection activeCell="E10" sqref="E10"/>
    </sheetView>
  </sheetViews>
  <sheetFormatPr defaultRowHeight="14.5" x14ac:dyDescent="0.35"/>
  <cols>
    <col min="1" max="1" width="5.453125" customWidth="1"/>
    <col min="2" max="2" width="45.26953125" customWidth="1"/>
    <col min="3" max="3" width="29.36328125" customWidth="1"/>
  </cols>
  <sheetData>
    <row r="1" spans="2:9" ht="32.5" customHeight="1" x14ac:dyDescent="0.35">
      <c r="B1" s="18" t="s">
        <v>61</v>
      </c>
      <c r="C1" s="19" t="s">
        <v>62</v>
      </c>
      <c r="H1" s="18"/>
      <c r="I1" s="19"/>
    </row>
    <row r="2" spans="2:9" x14ac:dyDescent="0.35">
      <c r="B2" t="s">
        <v>99</v>
      </c>
      <c r="C2" s="1" t="str" cm="1">
        <f t="array" ref="C2">IF(SUMPRODUCT(--(IFERROR(MID(SUBSTITUTE(SUBSTITUTE(Operations!$G$4:$G$67," ",""),CHAR(160),""),FIND(":",SUBSTITUTE(SUBSTITUTE(Operations!$G$4:$G$67," ",""),CHAR(160),""))+1,999),"")=SUBSTITUTE(SUBSTITUTE($B2," ",""),CHAR(160),"")),--ISNUMBER(SEARCH("|RI-&gt;&gt;C|","|"&amp;IFERROR(LEFT(SUBSTITUTE(SUBSTITUTE(Operations!$G$4:$G$67," ",""),CHAR(160),""),FIND(":",SUBSTITUTE(SUBSTITUTE(Operations!$G$4:$G$67," ",""),CHAR(160),""))-1),"")&amp;"|")))&gt;0,"trovato","non trovato")</f>
        <v>trovato</v>
      </c>
      <c r="I2" s="1"/>
    </row>
    <row r="3" spans="2:9" x14ac:dyDescent="0.35">
      <c r="B3" t="s">
        <v>83</v>
      </c>
      <c r="C3" s="1" t="str" cm="1">
        <f t="array" ref="C3">IF(SUMPRODUCT(--(IFERROR(MID(SUBSTITUTE(SUBSTITUTE(Operations!$G$4:$G$67," ",""),CHAR(160),""),FIND(":",SUBSTITUTE(SUBSTITUTE(Operations!$G$4:$G$67," ",""),CHAR(160),""))+1,999),"")=SUBSTITUTE(SUBSTITUTE($B3," ",""),CHAR(160),"")),--ISNUMBER(SEARCH("|RI-&gt;&gt;C|","|"&amp;IFERROR(LEFT(SUBSTITUTE(SUBSTITUTE(Operations!$G$4:$G$67," ",""),CHAR(160),""),FIND(":",SUBSTITUTE(SUBSTITUTE(Operations!$G$4:$G$67," ",""),CHAR(160),""))-1),"")&amp;"|")))&gt;0,"trovato","non trovato")</f>
        <v>trovato</v>
      </c>
    </row>
    <row r="4" spans="2:9" x14ac:dyDescent="0.35">
      <c r="B4" t="s">
        <v>84</v>
      </c>
      <c r="C4" s="1" t="str" cm="1">
        <f t="array" ref="C4">IF(SUMPRODUCT(--(IFERROR(MID(SUBSTITUTE(SUBSTITUTE(Operations!$G$4:$G$67," ",""),CHAR(160),""),FIND(":",SUBSTITUTE(SUBSTITUTE(Operations!$G$4:$G$67," ",""),CHAR(160),""))+1,999),"")=SUBSTITUTE(SUBSTITUTE($B4," ",""),CHAR(160),"")),--ISNUMBER(SEARCH("|RI-&gt;&gt;C|","|"&amp;IFERROR(LEFT(SUBSTITUTE(SUBSTITUTE(Operations!$G$4:$G$67," ",""),CHAR(160),""),FIND(":",SUBSTITUTE(SUBSTITUTE(Operations!$G$4:$G$67," ",""),CHAR(160),""))-1),"")&amp;"|")))&gt;0,"trovato","non trovato")</f>
        <v>trovato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DC46CDCE8B074C8BA45A3D045F099D" ma:contentTypeVersion="14" ma:contentTypeDescription="Create a new document." ma:contentTypeScope="" ma:versionID="5f550c7a307595308fdc8ae031d4d459">
  <xsd:schema xmlns:xsd="http://www.w3.org/2001/XMLSchema" xmlns:xs="http://www.w3.org/2001/XMLSchema" xmlns:p="http://schemas.microsoft.com/office/2006/metadata/properties" xmlns:ns2="3a91551d-3606-4bf7-8023-d5ea0a5e9c1b" xmlns:ns3="b186c59f-f815-45e1-99c4-931a19b5fcd3" targetNamespace="http://schemas.microsoft.com/office/2006/metadata/properties" ma:root="true" ma:fieldsID="a15e62ae7c76063d6f202925e9fbca93" ns2:_="" ns3:_="">
    <xsd:import namespace="3a91551d-3606-4bf7-8023-d5ea0a5e9c1b"/>
    <xsd:import namespace="b186c59f-f815-45e1-99c4-931a19b5fc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1551d-3606-4bf7-8023-d5ea0a5e9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a" ma:index="21" nillable="true" ma:displayName="Data" ma:format="DateOnly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6c59f-f815-45e1-99c4-931a19b5fc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3a91551d-3606-4bf7-8023-d5ea0a5e9c1b" xsi:nil="true"/>
    <lcf76f155ced4ddcb4097134ff3c332f xmlns="3a91551d-3606-4bf7-8023-d5ea0a5e9c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1AF74-DB53-485E-8463-CB3135D1E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1551d-3606-4bf7-8023-d5ea0a5e9c1b"/>
    <ds:schemaRef ds:uri="b186c59f-f815-45e1-99c4-931a19b5f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07B989-7FBE-442D-9930-851D5851C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94D9FC-389A-481D-9EC6-B333AEB114E9}">
  <ds:schemaRefs>
    <ds:schemaRef ds:uri="http://schemas.microsoft.com/office/2006/metadata/properties"/>
    <ds:schemaRef ds:uri="http://schemas.microsoft.com/office/infopath/2007/PartnerControls"/>
    <ds:schemaRef ds:uri="3a91551d-3606-4bf7-8023-d5ea0a5e9c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Operations</vt:lpstr>
      <vt:lpstr>bo_to_fo</vt:lpstr>
      <vt:lpstr>catalogo-ssu_to_fo</vt:lpstr>
      <vt:lpstr>cu_to_fo</vt:lpstr>
      <vt:lpstr>fo_to_bo</vt:lpstr>
      <vt:lpstr>et_to_bo</vt:lpstr>
      <vt:lpstr>ri_to_bo</vt:lpstr>
      <vt:lpstr>bozes_to_boadsp</vt:lpstr>
      <vt:lpstr>boadsp_to_bozes</vt:lpstr>
      <vt:lpstr>catalogo-ssu_to_bo</vt:lpstr>
      <vt:lpstr>bo_to_et</vt:lpstr>
      <vt:lpstr>et_to_et</vt:lpstr>
      <vt:lpstr>catalogo-ssu_to_et</vt:lpstr>
      <vt:lpstr>fo_to_cu</vt:lpstr>
      <vt:lpstr>catalogo-ssu_to_cu</vt:lpstr>
      <vt:lpstr>bo_to_ri</vt:lpstr>
      <vt:lpstr>catalogo-ssu_to_ri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Ciminelli, Fabio</dc:creator>
  <cp:lastModifiedBy>Ciminelli, Fabio</cp:lastModifiedBy>
  <dcterms:created xsi:type="dcterms:W3CDTF">2026-06-24T15:58:57Z</dcterms:created>
  <dcterms:modified xsi:type="dcterms:W3CDTF">2026-07-23T13:14:07Z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0x0101005BDC46CDCE8B074C8BA45A3D045F099D</vt:lpwstr>
  </property>
</Properties>
</file>